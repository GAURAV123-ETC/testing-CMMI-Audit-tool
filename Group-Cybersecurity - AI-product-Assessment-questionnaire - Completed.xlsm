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00000000-0000-0000-0000-000000000000}"/>
  <workbookPr codeName="ThisWorkbook" defaultThemeVersion="202300"/>
  <mc:AlternateContent xmlns:mc="http://schemas.openxmlformats.org/markup-compatibility/2006">
    <mc:Choice Requires="x15">
      <x15ac:absPath xmlns:x15ac="http://schemas.microsoft.com/office/spreadsheetml/2010/11/ac" url="D:\testing-CMMI-Audit-tool\"/>
    </mc:Choice>
  </mc:AlternateContent>
  <xr:revisionPtr revIDLastSave="0" documentId="13_ncr:1_{3BF1EC8F-4E62-4BCD-8040-E36771E3E8CB}" xr6:coauthVersionLast="47" xr6:coauthVersionMax="47" xr10:uidLastSave="{00000000-0000-0000-0000-000000000000}"/>
  <bookViews>
    <workbookView xWindow="-110" yWindow="-110" windowWidth="19420" windowHeight="10300" firstSheet="1" activeTab="1" xr2:uid="{00000000-000D-0000-FFFF-FFFF00000000}"/>
  </bookViews>
  <sheets>
    <sheet name="Version Control" sheetId="1" r:id="rId1"/>
    <sheet name="AI Questionnaire" sheetId="2" r:id="rId2"/>
  </sheets>
  <definedNames>
    <definedName name="_xleta.OR" hidden="1" xlm="1">#NAME?</definedName>
  </definedNames>
  <calcPr calcId="191029" forceFullCal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16" i="2" l="1"/>
  <c r="A115" i="2"/>
  <c r="A114" i="2"/>
  <c r="A113" i="2"/>
  <c r="A111" i="2"/>
  <c r="A110" i="2"/>
  <c r="A109" i="2"/>
  <c r="A107" i="2"/>
  <c r="A106" i="2"/>
  <c r="A105" i="2"/>
  <c r="A104" i="2"/>
  <c r="A103" i="2"/>
  <c r="A101" i="2"/>
  <c r="A100" i="2"/>
  <c r="A99" i="2"/>
  <c r="A98" i="2"/>
  <c r="A96" i="2"/>
  <c r="A95" i="2"/>
  <c r="A94" i="2"/>
  <c r="A93" i="2"/>
  <c r="A91" i="2"/>
  <c r="A90" i="2"/>
  <c r="A89" i="2"/>
  <c r="A88" i="2"/>
  <c r="A87" i="2"/>
  <c r="A85" i="2"/>
  <c r="A84" i="2"/>
  <c r="A83" i="2"/>
  <c r="A82" i="2"/>
  <c r="A81" i="2"/>
  <c r="A80" i="2"/>
  <c r="A78" i="2"/>
  <c r="A77" i="2"/>
  <c r="A76" i="2"/>
  <c r="A75" i="2"/>
  <c r="A74" i="2"/>
  <c r="A72" i="2"/>
  <c r="A71" i="2"/>
  <c r="A70" i="2"/>
  <c r="A69" i="2"/>
  <c r="A68" i="2"/>
  <c r="A66" i="2"/>
  <c r="A65" i="2"/>
  <c r="A64" i="2"/>
  <c r="A63" i="2"/>
  <c r="A62" i="2"/>
  <c r="A60" i="2"/>
  <c r="A59" i="2"/>
  <c r="A58" i="2"/>
  <c r="A57" i="2"/>
  <c r="A56" i="2"/>
  <c r="A55" i="2"/>
  <c r="A53" i="2"/>
  <c r="A52" i="2"/>
  <c r="A51" i="2"/>
  <c r="A50" i="2"/>
  <c r="A49" i="2"/>
  <c r="A48" i="2"/>
  <c r="A47" i="2"/>
  <c r="A46" i="2"/>
  <c r="A44" i="2"/>
  <c r="A43" i="2"/>
  <c r="A42" i="2"/>
  <c r="A40" i="2"/>
  <c r="A39" i="2"/>
  <c r="A38" i="2"/>
  <c r="A37" i="2"/>
  <c r="A36" i="2"/>
  <c r="A35" i="2"/>
  <c r="A33" i="2"/>
  <c r="A32" i="2"/>
  <c r="A31" i="2"/>
  <c r="A30" i="2"/>
  <c r="A28" i="2"/>
  <c r="A27" i="2"/>
  <c r="A26" i="2"/>
  <c r="A25" i="2"/>
  <c r="A24" i="2"/>
  <c r="A22" i="2"/>
  <c r="A21" i="2"/>
  <c r="A20" i="2"/>
  <c r="A19" i="2"/>
  <c r="A18" i="2"/>
  <c r="A17" i="2"/>
  <c r="A16" i="2"/>
  <c r="A15" i="2"/>
  <c r="A14" i="2"/>
  <c r="A13" i="2"/>
  <c r="A12" i="2"/>
  <c r="A10" i="2"/>
</calcChain>
</file>

<file path=xl/sharedStrings.xml><?xml version="1.0" encoding="utf-8"?>
<sst xmlns="http://schemas.openxmlformats.org/spreadsheetml/2006/main" count="270" uniqueCount="194">
  <si>
    <t>AI Third Party Solution Assessment Questionnaire</t>
  </si>
  <si>
    <t>Third-Party Name:</t>
  </si>
  <si>
    <t xml:space="preserve">Website: </t>
  </si>
  <si>
    <t>Product/Service:</t>
  </si>
  <si>
    <t>CMMI V3.0 Audit Platform</t>
  </si>
  <si>
    <t>As per the EU AI Act, are you considered an AI provider, AI deployer, both or otherwise?</t>
  </si>
  <si>
    <t>Otherwise</t>
  </si>
  <si>
    <t>Domain</t>
  </si>
  <si>
    <t>Response</t>
  </si>
  <si>
    <t>Evidence</t>
  </si>
  <si>
    <t>Please answer "Yes", "No"</t>
  </si>
  <si>
    <t>Please provide supporting evidence for your answers, which may include technical documentation, policy details, or contractual agreements to substantiate your responses.</t>
  </si>
  <si>
    <t>General Assessment</t>
  </si>
  <si>
    <t>If any, what foundational models is / are deployed in the solution as of current date?</t>
  </si>
  <si>
    <t>N/A</t>
  </si>
  <si>
    <t>No foundation model is deployed.</t>
  </si>
  <si>
    <t xml:space="preserve">How do you apply Testing, Evaluation, Verification, and Validation (TEVV) practices to ensure the authenticity, integrity, and security of the (Gen) AI system and/or output? </t>
  </si>
  <si>
    <t>There is no GenAI/AI system or output to test. The repository has conventional automated tests for application behavior.</t>
  </si>
  <si>
    <t>How do you test the AI system performance in real-world scenarios to observe its behavior in practical environments and reveal issues that might not surface in controlled and optimized testing environments? What are the criteria and metrics that you use to measure the AI system performance in real-world scenarios?</t>
  </si>
  <si>
    <t>No AI performance or model-behavior component exists.</t>
  </si>
  <si>
    <t>Is your management system for the model certified?</t>
  </si>
  <si>
    <t>No model-management system exists; no certification is evidenced.</t>
  </si>
  <si>
    <t>How do you anticipate compliance to the EU AI Act and / or other applicable AI regulations?</t>
  </si>
  <si>
    <t>The implemented product is not an AI provider or deployer. No AI-regulatory compliance program is evidenced.</t>
  </si>
  <si>
    <t xml:space="preserve">How is the AI system classified under the EU AI Act? </t>
  </si>
  <si>
    <t>No AI system is implemented, so no AI Act risk classification applies.</t>
  </si>
  <si>
    <t xml:space="preserve">Do you have a GRC framework or similar processes adapted to monitor compliance with policies and standards in the context of AI-related risks? </t>
  </si>
  <si>
    <t>No AI-risk/GRC process is implemented or evidenced.</t>
  </si>
  <si>
    <t xml:space="preserve">Do you have documented guidelines or recommendations for the use of the application/model aimed at reducing or mitigating inherent risks? </t>
  </si>
  <si>
    <t>There is no AI/model use. Deployment/security guidance exists for the conventional web application only.</t>
  </si>
  <si>
    <t xml:space="preserve">What is the response time from vulnerability detection to remediation? </t>
  </si>
  <si>
    <t>No</t>
  </si>
  <si>
    <t>No documented vulnerability-remediation SLA, target response time, or security-incident workflow is implemented.</t>
  </si>
  <si>
    <t xml:space="preserve">Is there a defined process and response plan in place for managing AI security incidents consistently? </t>
  </si>
  <si>
    <t>There is no AI system; a defined AI-incident response plan is not evidenced.</t>
  </si>
  <si>
    <t>Data leakage (User Layer - Personal &amp; sensitive data)</t>
  </si>
  <si>
    <t>Do you have any way to identified tagged data or document for sensitivity entered into the prompt?</t>
  </si>
  <si>
    <t>No prompt interface exists. Uploaded evidence is not prompt input and has no sensitivity-tag detection.</t>
  </si>
  <si>
    <t xml:space="preserve">If yes, is there a configuration to be able to reject tagged data before it is processed by the model/system? </t>
  </si>
  <si>
    <t>No prompt processing or tag-based rejection configuration exists.</t>
  </si>
  <si>
    <t>Are the document (e.g : word, PDF) entered into the prompt saved on your IS?</t>
  </si>
  <si>
    <t>No prompt documents exist. Separately, evidence files uploaded for audit are stored on the configured server filesystem.</t>
  </si>
  <si>
    <t>In case of sensitive information leaked into the prompt do you have a process to erase it securely on demand? E.g: sensitive document</t>
  </si>
  <si>
    <t>No prompt data exists. No user-facing secure-erasure-on-demand process for uploaded evidence is evidenced.</t>
  </si>
  <si>
    <t xml:space="preserve">Data leakage  (Prompt output - training data) </t>
  </si>
  <si>
    <t>Is the model training data de-identified, aggregated and anonymized?</t>
  </si>
  <si>
    <t>The product has no training data or model-training process.</t>
  </si>
  <si>
    <t xml:space="preserve">Do you have measures in place to ensure that your AI tools do not generate outputs (text, image, video, or audio) containing personal data or intellectual property used during training? What methods do you use to detect and remove such data if it appears? </t>
  </si>
  <si>
    <t>The product does not generate AI content and has no training corpus.</t>
  </si>
  <si>
    <t>Can the user access the model/system alignement instructions?</t>
  </si>
  <si>
    <t>No model or alignment instructions exist.</t>
  </si>
  <si>
    <t xml:space="preserve"> Data Leakage (Application Layer - Chat history)</t>
  </si>
  <si>
    <t>Do you implement data anonymization or pseudonymization techniques or encryption for chat history and usage data?</t>
  </si>
  <si>
    <t>No chat feature or chat-history store exists.</t>
  </si>
  <si>
    <t>Is it possible to disable chat history on demand?</t>
  </si>
  <si>
    <t>No chat history exists.</t>
  </si>
  <si>
    <t xml:space="preserve">Is the chat history logged? </t>
  </si>
  <si>
    <t>No chat history exists. The application does maintain ordinary audit logs for selected security/business actions.</t>
  </si>
  <si>
    <t>If yes and hosted in public cloud, how long do you retain the logs?</t>
  </si>
  <si>
    <t>No chat logs or public-cloud AI service is implemented.</t>
  </si>
  <si>
    <t>Should we need to terminate the relationship, will you be able to remove our data from your AI system?</t>
  </si>
  <si>
    <t>There is no AI system. No contractual/data-deletion process is evidenced for uploaded audit evidence.</t>
  </si>
  <si>
    <t>Data Leakage (Data Layer - Infrastructure security: training data, fine-tuning data)</t>
  </si>
  <si>
    <t>Do you have specific processes and procedures does your AI system have in place to ensure safe decommissioning or phasing out, including data deletion, model archiving, and stakeholder notification, without increasing risks or compromising trustworthiness?</t>
  </si>
  <si>
    <t>No trained/fine-tuned model, model archive, or AI decommissioning process exists.</t>
  </si>
  <si>
    <t xml:space="preserve">Does your SaaS platform isolate our data from other clients' data to prevent the system from revealing insights derived from our information (e.g., fine-tuning or context)? </t>
  </si>
  <si>
    <t>The current documented use is local/development deployment, not a multi-tenant AI SaaS; no AI-context or fine-tuning exists.</t>
  </si>
  <si>
    <t>Unauthorized Retrieval (fetch sensitive data without the proper authorization of the active user)</t>
  </si>
  <si>
    <t>Do you have auditing mechanisms do you use to track and review the AI system's data access patterns?</t>
  </si>
  <si>
    <t>Authentication and selected security/business actions (login, user/role changes, uploads and scans) are written to `audit_logs`, but the application does not monitor and review per-document data-access patterns.</t>
  </si>
  <si>
    <t>Does your model / system alert the user when he try to access information which he is not authorized to access?</t>
  </si>
  <si>
    <t>The app returns authorization failures through RBAC, but no user alert workflow for attempted unauthorized data access is implemented.</t>
  </si>
  <si>
    <t>If yes, is this alert recorded in the logs?</t>
  </si>
  <si>
    <t>There is no such alert mechanism, hence no associated alert log.</t>
  </si>
  <si>
    <t>Does your model / system limit the output to the document or informations that the user can access?</t>
  </si>
  <si>
    <t>Access is role/screen based; no per-user/per-document entitlement model restricts findings or output to individual document permissions.</t>
  </si>
  <si>
    <t>If yes, how does it determine which data the user can access?</t>
  </si>
  <si>
    <t>The implemented authorization decision is page/action RBAC, not data/document-level authorization.</t>
  </si>
  <si>
    <t>Do you have any way to identified tagged data or document accessed by the model/system?</t>
  </si>
  <si>
    <t>No model accesses documents, and no document sensitivity-tagging feature is implemented.</t>
  </si>
  <si>
    <t xml:space="preserve">If yes, is there a configuration to limit the data answered in the ouput ? E.g do not answer with data belonging to a  specific tag ? </t>
  </si>
  <si>
    <t>No model output or tag-based output filtering exists.</t>
  </si>
  <si>
    <t>Overreliance</t>
  </si>
  <si>
    <t>Do you have any documentation explaining the limitation of your AI system's knowledge and how to monitor its output?</t>
  </si>
  <si>
    <t>No AI knowledge base or AI output exists.</t>
  </si>
  <si>
    <t>Do you have any documentation with recommendation aim to validate the reliability of the output and in case of error correcting the input or AI model?</t>
  </si>
  <si>
    <t>No AI output exists. The audit workflow supports human review/remediation of rule-scan findings, which is distinct from AI-output validation.</t>
  </si>
  <si>
    <t>Do you have processes in place for human oversight and intervention in AI-driven decisions?</t>
  </si>
  <si>
    <t>No AI-driven decisions are made. Users can review findings and record remediation in the conventional audit workflow.</t>
  </si>
  <si>
    <t xml:space="preserve">Do you implement interpretability and explainability methods to evaluate AI system decisions and verify its alignment with the intended purpose? </t>
  </si>
  <si>
    <t>No AI decisions exist. Deterministic rule findings retain rule/evidence provenance.</t>
  </si>
  <si>
    <t>Does the solution provides the references used for the output?</t>
  </si>
  <si>
    <t>No AI output exists. Scan findings are associated with evidence/rules, but that is not generative AI citation.</t>
  </si>
  <si>
    <t>Biased, Harmful and Inappropriate content</t>
  </si>
  <si>
    <t>Do you have metrics are used to measure and monitor bias in the AI's outputs?</t>
  </si>
  <si>
    <t>No AI output exists.</t>
  </si>
  <si>
    <t>Do you perform systemic risk assessments to determine the possible negative impact of the AI system on different demographic groups?</t>
  </si>
  <si>
    <t>No AI system exists.</t>
  </si>
  <si>
    <t>Do you have content moderation techniques are applied to the AI's outputs?</t>
  </si>
  <si>
    <t>No AI-generated text, image, video, or audio exists.</t>
  </si>
  <si>
    <t>Has the application/model been tested to prevent it from generating content that is harmful or violates the law?</t>
  </si>
  <si>
    <t>No content-generating AI capability exists.</t>
  </si>
  <si>
    <t>Hallucination</t>
  </si>
  <si>
    <t>Do you measure and quantify hallucination in your AI system?</t>
  </si>
  <si>
    <t>No generative model exists, so hallucination does not apply.</t>
  </si>
  <si>
    <t>Do you have mechanisms in place to allow the AI to express uncertainty or indicate when it may be hallucinating?</t>
  </si>
  <si>
    <t xml:space="preserve">Do you evaluate the explainability of the GenAI tools that you use or develop? </t>
  </si>
  <si>
    <t>No GenAI tools are used or developed in the current product.</t>
  </si>
  <si>
    <t>Do you document and communicate the results of the explainability techniques to the relevant stakeholders?</t>
  </si>
  <si>
    <t>No GenAI explainability activity exists.</t>
  </si>
  <si>
    <t>Prompt Injection</t>
  </si>
  <si>
    <t>Do you have methods and safeguards implemented to prevent, detect, and measure prompt injection vulnerabilities in your AI system?</t>
  </si>
  <si>
    <t>No prompt/LLM integration exists.</t>
  </si>
  <si>
    <t>Is there an alert in case of prompt injection attempt?</t>
  </si>
  <si>
    <t>Do you test and evaluate your AI system's resilience against prompt injection attempts, including any specific benchmarks, adversarial testing, or real-time detection mechanisms?</t>
  </si>
  <si>
    <t xml:space="preserve">Do you moderate prompts for inappropriate or illegal material? </t>
  </si>
  <si>
    <t>Excessive Permission (unauthorized users or processes to tamper with critical aspects of the AI model's configuration and training data)</t>
  </si>
  <si>
    <t>Do you have mechanisms in place to detect and prevent potential permission escalation attempts by the AI system or external actors?</t>
  </si>
  <si>
    <t>RBAC, authenticated sessions, protected routes, and role-management safeguards prevent unauthorized page/action access. However, no dedicated privilege-escalation detection/alerting mechanism is implemented.</t>
  </si>
  <si>
    <t>Will data we input into the model be used to train the model? If not, can you provide evidence of training-opt out ?</t>
  </si>
  <si>
    <t>No model is trained; uploaded evidence is not used for training. This is architectural fact, not a contractual training-opt-out control.</t>
  </si>
  <si>
    <t>Do you monitor the modification on the model/system configuration ?</t>
  </si>
  <si>
    <t>No AI model configuration exists. Application role/rule-catalog changes are audited, but that is not model-configuration monitoring.</t>
  </si>
  <si>
    <t>Do you monitor any change in the training data ?</t>
  </si>
  <si>
    <t>No model training data exists.</t>
  </si>
  <si>
    <t>Do you monitor any change in the fine-tuning instruction ?</t>
  </si>
  <si>
    <t>No fine-tuning or fine-tuning instructions exist.</t>
  </si>
  <si>
    <t xml:space="preserve"> Denial of Service</t>
  </si>
  <si>
    <t>Do you have contingency plans or failover mechanisms in place to maintain service continuity in the event of a successful DoS attack?</t>
  </si>
  <si>
    <t>Docker restart and a health check are configured, but no redundant deployment, failover architecture, or documented DoS contingency plan is implemented.</t>
  </si>
  <si>
    <t>Do you use any anomaly detection algorithms or tools to identify traffic patterns that might suggest a DoS attack?</t>
  </si>
  <si>
    <t>No traffic anomaly-detection capability is implemented. Login/reset request rate limits do not constitute DoS detection.</t>
  </si>
  <si>
    <t>Do you have tools to kill/terminate a request when the processing of the output takes to many resources/is in an infinite loop?</t>
  </si>
  <si>
    <t>Upload/archive limits and a two-hour stale scan-job lease exist, but there is no implemented per-request execution timeout or administrator kill control.</t>
  </si>
  <si>
    <t>Do you monitor the uses of resource by the model/system?</t>
  </si>
  <si>
    <t>No CPU/memory/resource monitoring is implemented in the application or Compose configuration.</t>
  </si>
  <si>
    <t>Supply Chain (Application Layer - librairies - API - Framework)</t>
  </si>
  <si>
    <t>Do you assess and secure third-party libraries, frameworks, or APIs used in your AI system's application layer?</t>
  </si>
  <si>
    <t>Dependencies are declared and versions bounded in `requirements.txt`, but no implemented SCA/vulnerability-scanning or supplier-assessment process is evidenced.</t>
  </si>
  <si>
    <t xml:space="preserve">Do you allow third parties to develop plugins or add-ons for sale to the public? </t>
  </si>
  <si>
    <t>The product does not provide a plugin/add-on marketplace or third-party extension mechanism.</t>
  </si>
  <si>
    <t>If yes, do you review the plugins or add-ons before publication to ensure they meet the same security standards as your AI solution?</t>
  </si>
  <si>
    <t>No third-party plugins/add-ons are permitted or published.</t>
  </si>
  <si>
    <t xml:space="preserve">Supply Chain (Model Layer) </t>
  </si>
  <si>
    <t>Do you ensure the integrity and provenance of the training data used in your model development process?</t>
  </si>
  <si>
    <t>No model development or training data exists.</t>
  </si>
  <si>
    <t>Do you have measures in place to verify the authenticity and security of pre-trained models or components integrated into your AI system?</t>
  </si>
  <si>
    <t>No pre-trained model/component is integrated.</t>
  </si>
  <si>
    <t>Do you follow processes to track and audit changes made to the model throughout its lifecycle, from development to deployment?</t>
  </si>
  <si>
    <t>No model lifecycle exists.</t>
  </si>
  <si>
    <t>Data poisoning</t>
  </si>
  <si>
    <t>Do you have safeguards implemented to prevent unauthorized modifications to training or fine-tuning datasets used in your application?</t>
  </si>
  <si>
    <t>No training or fine-tuning datasets exist.</t>
  </si>
  <si>
    <t>Do you have testing or evaluation procedures used to detect performance degradation or unexpected behaviors that might result from data poisoning?</t>
  </si>
  <si>
    <t>No trained model or training dataset exists.</t>
  </si>
  <si>
    <t xml:space="preserve">Do you ensure that fine-tuning does not compromise the safety and security controls of your GenAI tools? </t>
  </si>
  <si>
    <t>No GenAI fine-tuning exists.</t>
  </si>
  <si>
    <t>Do you implement data sanitization technique to train or retrain your models?</t>
  </si>
  <si>
    <t>No model training or retraining exists.</t>
  </si>
  <si>
    <t>Model Drift</t>
  </si>
  <si>
    <t>Do you have monitoring systems in place to detect changes in model performance or output distributions over time?</t>
  </si>
  <si>
    <t>No ML/AI model exists.</t>
  </si>
  <si>
    <t>Do you have processes that you follow to retrain or update your model, and how do you determine when these actions are necessary?</t>
  </si>
  <si>
    <t xml:space="preserve">Model Theft </t>
  </si>
  <si>
    <t>Do you have security measure to protect and control the access to your model's development environment and deployment infrastructure to prevent insider threats?</t>
  </si>
  <si>
    <t>No AI model development or deployment infrastructure exists. Conventional application access is protected with authenticated, role-based access controls.</t>
  </si>
  <si>
    <t>Do you have segregation access based on the roles and responsibility of the users to ensure that only authorized personnel can access, modify, or deploy the models?</t>
  </si>
  <si>
    <t>No model exists. For application administration, the system implements database-backed role and screen permissions.</t>
  </si>
  <si>
    <t>Do you have protections and monitoring measures in place to safeguard your AI models against unauthorized redistribution, reverse engineering, and misuse?</t>
  </si>
  <si>
    <t>No AI model artifact is distributed or served.</t>
  </si>
  <si>
    <t>If you are not an AI deployer or AI provider you do not need to answer this questionnaire, please contact your capgemini SPOC</t>
  </si>
  <si>
    <t>Document Information:</t>
  </si>
  <si>
    <t>Document Name</t>
  </si>
  <si>
    <t xml:space="preserve">Group Cybersecurity_ AI product Assessment questionnaire </t>
  </si>
  <si>
    <t>Classification</t>
  </si>
  <si>
    <t>Company Confidential (SEC2)</t>
  </si>
  <si>
    <t>Owner</t>
  </si>
  <si>
    <t>Group Cybersecurity</t>
  </si>
  <si>
    <t xml:space="preserve">Version </t>
  </si>
  <si>
    <t>V 4.0</t>
  </si>
  <si>
    <t>Version History</t>
  </si>
  <si>
    <t>Version Number</t>
  </si>
  <si>
    <t>Rational Change</t>
  </si>
  <si>
    <t>Author</t>
  </si>
  <si>
    <t>Reviewed By</t>
  </si>
  <si>
    <t>Approved By</t>
  </si>
  <si>
    <t>Approved on</t>
  </si>
  <si>
    <t>V 1.0</t>
  </si>
  <si>
    <t>Creation of AI questionnaire - New document</t>
  </si>
  <si>
    <t>V2.0</t>
  </si>
  <si>
    <t>Question modified</t>
  </si>
  <si>
    <t>V3.0</t>
  </si>
  <si>
    <t>V4.0</t>
  </si>
  <si>
    <t>Differentiation of Provider and Deployer related questions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</si>
</sst>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7" x14ac:knownFonts="1">
    <font>
      <sz val="12"/>
      <color theme="1"/>
      <name val="Aptos Narrow"/>
      <family val="2"/>
      <scheme val="minor"/>
    </font>
    <font>
      <sz val="12"/>
      <color theme="0"/>
      <name val="Aptos Narrow"/>
      <family val="2"/>
      <scheme val="minor"/>
    </font>
    <font>
      <b/>
      <sz val="14"/>
      <color theme="0"/>
      <name val="Arial"/>
      <family val="2"/>
    </font>
    <font>
      <b/>
      <sz val="12"/>
      <color theme="0"/>
      <name val="Arial"/>
      <family val="2"/>
    </font>
    <font>
      <sz val="10"/>
      <name val="Arial"/>
      <family val="2"/>
    </font>
    <font>
      <b/>
      <sz val="11"/>
      <name val="Arial"/>
      <family val="2"/>
    </font>
    <font>
      <sz val="9"/>
      <color theme="1"/>
      <name val="Arial"/>
      <family val="2"/>
    </font>
    <font>
      <b/>
      <sz val="24"/>
      <color rgb="FF002060"/>
      <name val="Arial"/>
      <family val="2"/>
    </font>
    <font>
      <sz val="10"/>
      <color rgb="FF000000"/>
      <name val="Arial"/>
      <family val="2"/>
    </font>
    <font>
      <sz val="12"/>
      <color theme="1"/>
      <name val="Aptos Narrow"/>
      <scheme val="minor"/>
    </font>
    <font>
      <b/>
      <sz val="16"/>
      <color rgb="FFFFFFFF"/>
      <name val="Verdana"/>
    </font>
    <font>
      <b/>
      <sz val="12"/>
      <color theme="1"/>
      <name val="Aptos Narrow"/>
    </font>
    <font>
      <sz val="12"/>
      <color theme="1"/>
      <name val="Aptos Narrow"/>
    </font>
    <font>
      <sz val="12"/>
      <color theme="1"/>
      <name val="Arial"/>
    </font>
    <font>
      <b/>
      <sz val="10"/>
      <color rgb="FFFFFF00"/>
      <name val="Arial"/>
      <family val="2"/>
    </font>
    <font>
      <b/>
      <sz val="8"/>
      <color rgb="FFFFFF00"/>
      <name val="Arial"/>
      <family val="2"/>
    </font>
    <font>
      <b/>
      <sz val="11"/>
      <color rgb="FFFF0000"/>
      <name val="Arial"/>
      <family val="2"/>
    </font>
  </fonts>
  <fills count="9">
    <fill>
      <patternFill patternType="none"/>
    </fill>
    <fill>
      <patternFill patternType="gray125"/>
    </fill>
    <fill>
      <patternFill patternType="solid">
        <fgColor rgb="FF0070C0"/>
        <bgColor indexed="64"/>
      </patternFill>
    </fill>
    <fill>
      <patternFill patternType="solid">
        <fgColor rgb="FF002060"/>
        <bgColor indexed="64"/>
      </patternFill>
    </fill>
    <fill>
      <patternFill patternType="solid">
        <fgColor theme="0" tint="-0.14999847407452621"/>
        <bgColor indexed="64"/>
      </patternFill>
    </fill>
    <fill>
      <patternFill patternType="solid">
        <fgColor theme="0"/>
        <bgColor indexed="64"/>
      </patternFill>
    </fill>
    <fill>
      <patternFill patternType="solid">
        <fgColor theme="0"/>
        <bgColor theme="0"/>
      </patternFill>
    </fill>
    <fill>
      <patternFill patternType="solid">
        <fgColor rgb="FF4D94D8"/>
        <bgColor rgb="FF4D94D8"/>
      </patternFill>
    </fill>
    <fill>
      <patternFill patternType="solid">
        <fgColor theme="2" tint="-0.249977111117893"/>
        <bgColor indexed="64"/>
      </patternFill>
    </fill>
  </fills>
  <borders count="20">
    <border>
      <left/>
      <right/>
      <top/>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top/>
      <bottom style="medium">
        <color indexed="64"/>
      </bottom>
      <diagonal/>
    </border>
    <border>
      <left style="thin">
        <color indexed="64"/>
      </left>
      <right/>
      <top style="thin">
        <color auto="1"/>
      </top>
      <bottom/>
      <diagonal/>
    </border>
    <border>
      <left style="thin">
        <color indexed="64"/>
      </left>
      <right/>
      <top/>
      <bottom/>
      <diagonal/>
    </border>
    <border>
      <left/>
      <right/>
      <top/>
      <bottom style="thin">
        <color auto="1"/>
      </bottom>
      <diagonal/>
    </border>
    <border>
      <left style="thin">
        <color indexed="64"/>
      </left>
      <right/>
      <top/>
      <bottom style="medium">
        <color indexed="64"/>
      </bottom>
      <diagonal/>
    </border>
    <border>
      <left/>
      <right/>
      <top style="thick">
        <color theme="4"/>
      </top>
      <bottom style="thick">
        <color theme="4"/>
      </bottom>
      <diagonal/>
    </border>
    <border>
      <left/>
      <right style="thick">
        <color theme="4"/>
      </right>
      <top style="thick">
        <color theme="4"/>
      </top>
      <bottom style="thick">
        <color theme="4"/>
      </bottom>
      <diagonal/>
    </border>
    <border>
      <left/>
      <right/>
      <top style="thick">
        <color theme="4"/>
      </top>
      <bottom/>
      <diagonal/>
    </border>
    <border>
      <left style="thick">
        <color theme="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style="medium">
        <color indexed="64"/>
      </bottom>
      <diagonal/>
    </border>
    <border>
      <left/>
      <right style="thin">
        <color indexed="64"/>
      </right>
      <top style="thin">
        <color indexed="64"/>
      </top>
      <bottom style="thin">
        <color indexed="64"/>
      </bottom>
      <diagonal/>
    </border>
    <border>
      <left style="thick">
        <color theme="4"/>
      </left>
      <right style="thick">
        <color theme="4"/>
      </right>
      <top style="thick">
        <color theme="4"/>
      </top>
      <bottom style="thick">
        <color theme="4"/>
      </bottom>
      <diagonal/>
    </border>
    <border>
      <left/>
      <right style="thin">
        <color indexed="64"/>
      </right>
      <top style="thin">
        <color indexed="64"/>
      </top>
      <bottom/>
      <diagonal/>
    </border>
    <border>
      <left/>
      <right/>
      <top style="thin">
        <color auto="1"/>
      </top>
      <bottom/>
      <diagonal/>
    </border>
  </borders>
  <cellStyleXfs count="2">
    <xf numFmtId="0" fontId="0" fillId="0" borderId="0"/>
    <xf numFmtId="0" fontId="9" fillId="0" borderId="0"/>
  </cellStyleXfs>
  <cellXfs count="49">
    <xf numFmtId="0" fontId="0" fillId="0" borderId="0" xfId="0"/>
    <xf numFmtId="0" fontId="1" fillId="3" borderId="1" xfId="0" applyFont="1" applyFill="1" applyBorder="1"/>
    <xf numFmtId="0" fontId="2" fillId="3" borderId="2" xfId="0" applyFont="1" applyFill="1" applyBorder="1" applyAlignment="1">
      <alignment horizontal="center" vertical="center" wrapText="1"/>
    </xf>
    <xf numFmtId="0" fontId="9" fillId="0" borderId="0" xfId="1"/>
    <xf numFmtId="0" fontId="11" fillId="0" borderId="0" xfId="1" applyFont="1"/>
    <xf numFmtId="14" fontId="12" fillId="0" borderId="0" xfId="1" applyNumberFormat="1" applyFont="1"/>
    <xf numFmtId="0" fontId="13" fillId="0" borderId="0" xfId="1" applyFont="1"/>
    <xf numFmtId="14" fontId="13" fillId="0" borderId="0" xfId="1" applyNumberFormat="1" applyFont="1"/>
    <xf numFmtId="164" fontId="4" fillId="5" borderId="13" xfId="0" applyNumberFormat="1" applyFont="1" applyFill="1" applyBorder="1" applyAlignment="1">
      <alignment horizontal="left" vertical="center" wrapText="1"/>
    </xf>
    <xf numFmtId="164" fontId="4" fillId="0" borderId="13" xfId="0" applyNumberFormat="1" applyFont="1" applyBorder="1" applyAlignment="1">
      <alignment horizontal="left" vertical="center" wrapText="1"/>
    </xf>
    <xf numFmtId="0" fontId="4" fillId="0" borderId="13" xfId="0" applyFont="1" applyBorder="1" applyAlignment="1">
      <alignment vertical="center" wrapText="1"/>
    </xf>
    <xf numFmtId="0" fontId="4" fillId="5" borderId="13" xfId="0" applyFont="1" applyFill="1" applyBorder="1" applyAlignment="1">
      <alignment vertical="center" wrapText="1"/>
    </xf>
    <xf numFmtId="0" fontId="0" fillId="0" borderId="13" xfId="0" applyBorder="1"/>
    <xf numFmtId="164" fontId="8" fillId="0" borderId="13" xfId="0" applyNumberFormat="1" applyFont="1" applyBorder="1" applyAlignment="1">
      <alignment horizontal="left" vertical="center" wrapText="1"/>
    </xf>
    <xf numFmtId="0" fontId="2" fillId="3" borderId="0" xfId="0" applyFont="1" applyFill="1" applyAlignment="1">
      <alignment horizontal="center" vertical="center"/>
    </xf>
    <xf numFmtId="0" fontId="2" fillId="3" borderId="0" xfId="0" applyFont="1" applyFill="1" applyAlignment="1">
      <alignment vertical="center"/>
    </xf>
    <xf numFmtId="0" fontId="1" fillId="8" borderId="3" xfId="0" applyFont="1" applyFill="1" applyBorder="1"/>
    <xf numFmtId="0" fontId="2" fillId="8" borderId="0" xfId="0" applyFont="1" applyFill="1" applyAlignment="1">
      <alignment horizontal="center" vertical="center" wrapText="1"/>
    </xf>
    <xf numFmtId="0" fontId="14" fillId="8" borderId="0" xfId="0" applyFont="1" applyFill="1" applyAlignment="1">
      <alignment vertical="center" wrapText="1"/>
    </xf>
    <xf numFmtId="0" fontId="15" fillId="8" borderId="0" xfId="0" applyFont="1" applyFill="1" applyAlignment="1">
      <alignment vertical="center" wrapText="1"/>
    </xf>
    <xf numFmtId="0" fontId="0" fillId="0" borderId="13" xfId="0" applyBorder="1" applyAlignment="1">
      <alignment vertical="top" wrapText="1"/>
    </xf>
    <xf numFmtId="0" fontId="3" fillId="2" borderId="0" xfId="0" applyFont="1" applyFill="1" applyAlignment="1">
      <alignment horizontal="center" vertical="center" wrapText="1"/>
    </xf>
    <xf numFmtId="0" fontId="0" fillId="0" borderId="0" xfId="0"/>
    <xf numFmtId="0" fontId="6" fillId="4" borderId="14" xfId="0" applyFont="1" applyFill="1" applyBorder="1" applyAlignment="1">
      <alignment vertical="top" wrapText="1"/>
    </xf>
    <xf numFmtId="0" fontId="0" fillId="0" borderId="18" xfId="0" applyBorder="1"/>
    <xf numFmtId="164" fontId="3" fillId="2" borderId="3" xfId="0" applyNumberFormat="1" applyFont="1" applyFill="1" applyBorder="1" applyAlignment="1">
      <alignment horizontal="center" vertical="center"/>
    </xf>
    <xf numFmtId="0" fontId="0" fillId="0" borderId="3" xfId="0" applyBorder="1"/>
    <xf numFmtId="0" fontId="6" fillId="4" borderId="13" xfId="0" applyFont="1" applyFill="1" applyBorder="1" applyAlignment="1">
      <alignment horizontal="center"/>
    </xf>
    <xf numFmtId="0" fontId="0" fillId="0" borderId="16" xfId="0" applyBorder="1"/>
    <xf numFmtId="0" fontId="5" fillId="4" borderId="8" xfId="0" applyFont="1" applyFill="1" applyBorder="1" applyAlignment="1">
      <alignment horizontal="right"/>
    </xf>
    <xf numFmtId="0" fontId="0" fillId="0" borderId="4" xfId="0" applyBorder="1"/>
    <xf numFmtId="0" fontId="0" fillId="0" borderId="7" xfId="0" applyBorder="1" applyAlignment="1">
      <alignment horizontal="center" vertical="center"/>
    </xf>
    <xf numFmtId="0" fontId="0" fillId="0" borderId="7" xfId="0" applyBorder="1"/>
    <xf numFmtId="0" fontId="16" fillId="4" borderId="15" xfId="0" applyFont="1" applyFill="1" applyBorder="1" applyAlignment="1">
      <alignment horizontal="right"/>
    </xf>
    <xf numFmtId="0" fontId="0" fillId="0" borderId="15" xfId="0" applyBorder="1"/>
    <xf numFmtId="0" fontId="5" fillId="4" borderId="6" xfId="0" applyFont="1" applyFill="1" applyBorder="1" applyAlignment="1">
      <alignment horizontal="right"/>
    </xf>
    <xf numFmtId="0" fontId="5" fillId="4" borderId="5" xfId="0" applyFont="1" applyFill="1" applyBorder="1" applyAlignment="1">
      <alignment horizontal="right"/>
    </xf>
    <xf numFmtId="0" fontId="0" fillId="0" borderId="19" xfId="0" applyBorder="1"/>
    <xf numFmtId="0" fontId="16" fillId="4" borderId="13" xfId="0" applyFont="1" applyFill="1" applyBorder="1" applyAlignment="1">
      <alignment vertical="top" wrapText="1"/>
    </xf>
    <xf numFmtId="0" fontId="7" fillId="0" borderId="7" xfId="0" applyFont="1" applyBorder="1" applyAlignment="1">
      <alignment horizontal="center" vertical="center"/>
    </xf>
    <xf numFmtId="0" fontId="12" fillId="0" borderId="0" xfId="1" applyFont="1" applyAlignment="1">
      <alignment horizontal="left"/>
    </xf>
    <xf numFmtId="0" fontId="9" fillId="0" borderId="0" xfId="1"/>
    <xf numFmtId="0" fontId="10" fillId="7" borderId="12" xfId="1" applyFont="1" applyFill="1" applyBorder="1" applyAlignment="1">
      <alignment horizontal="left" vertical="center"/>
    </xf>
    <xf numFmtId="0" fontId="12" fillId="0" borderId="11" xfId="1" applyFont="1" applyBorder="1" applyAlignment="1">
      <alignment horizontal="left"/>
    </xf>
    <xf numFmtId="0" fontId="0" fillId="0" borderId="11" xfId="0" applyBorder="1"/>
    <xf numFmtId="0" fontId="10" fillId="7" borderId="17" xfId="1" applyFont="1" applyFill="1" applyBorder="1" applyAlignment="1">
      <alignment vertical="center"/>
    </xf>
    <xf numFmtId="0" fontId="0" fillId="0" borderId="9" xfId="0" applyBorder="1"/>
    <xf numFmtId="0" fontId="0" fillId="0" borderId="10" xfId="0" applyBorder="1"/>
    <xf numFmtId="0" fontId="10" fillId="6" borderId="0" xfId="1" applyFont="1" applyFill="1" applyAlignment="1">
      <alignment vertical="center"/>
    </xf>
  </cellXfs>
  <cellStyles count="2">
    <cellStyle name="Normal" xfId="0" builtinId="0"/>
    <cellStyle name="Normal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4</xdr:col>
      <xdr:colOff>0</xdr:colOff>
      <xdr:row>1</xdr:row>
      <xdr:rowOff>0</xdr:rowOff>
    </xdr:from>
    <xdr:ext cx="1857375" cy="314325"/>
    <xdr:pic>
      <xdr:nvPicPr>
        <xdr:cNvPr id="2" name="image1.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xfrm>
          <a:off x="8343900" y="200025"/>
          <a:ext cx="1857375" cy="314325"/>
        </a:xfrm>
        <a:prstGeom prst="rect">
          <a:avLst/>
        </a:prstGeom>
        <a:noFill/>
        <a:ln>
          <a:prstDash val="solid"/>
        </a:ln>
      </xdr:spPr>
    </xdr:pic>
    <xdr:clientData fLocksWithSheet="0"/>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F1000"/>
  <sheetViews>
    <sheetView showGridLines="0" workbookViewId="0">
      <selection activeCell="B14" sqref="B14"/>
    </sheetView>
  </sheetViews>
  <sheetFormatPr defaultColWidth="11.25" defaultRowHeight="15" customHeight="1" x14ac:dyDescent="0.4"/>
  <cols>
    <col min="1" max="1" width="16.08203125" style="3" customWidth="1"/>
    <col min="2" max="2" width="39" style="3" customWidth="1"/>
    <col min="3" max="3" width="28" style="3" customWidth="1"/>
    <col min="4" max="4" width="26.33203125" style="3" customWidth="1"/>
    <col min="5" max="5" width="26" style="3" customWidth="1"/>
    <col min="6" max="6" width="23.08203125" style="3" customWidth="1"/>
    <col min="7" max="26" width="8.75" style="3" customWidth="1"/>
    <col min="27" max="27" width="11.25" style="3" customWidth="1"/>
    <col min="28" max="16384" width="11.25" style="3"/>
  </cols>
  <sheetData>
    <row r="1" spans="1:6" ht="15.75" customHeight="1" x14ac:dyDescent="0.4"/>
    <row r="2" spans="1:6" ht="15.75" customHeight="1" x14ac:dyDescent="0.4">
      <c r="A2" s="48"/>
      <c r="B2" s="41"/>
      <c r="C2" s="41"/>
      <c r="D2" s="41"/>
    </row>
    <row r="3" spans="1:6" ht="15.75" customHeight="1" thickBot="1" x14ac:dyDescent="0.45"/>
    <row r="4" spans="1:6" ht="15.75" customHeight="1" thickTop="1" thickBot="1" x14ac:dyDescent="0.45">
      <c r="A4" s="45" t="s">
        <v>171</v>
      </c>
      <c r="B4" s="46"/>
      <c r="C4" s="46"/>
      <c r="D4" s="47"/>
    </row>
    <row r="5" spans="1:6" ht="15.75" customHeight="1" thickTop="1" x14ac:dyDescent="0.4">
      <c r="A5" s="4" t="s">
        <v>172</v>
      </c>
      <c r="B5" s="43" t="s">
        <v>173</v>
      </c>
      <c r="C5" s="44"/>
    </row>
    <row r="6" spans="1:6" ht="15.75" customHeight="1" x14ac:dyDescent="0.4">
      <c r="A6" s="4" t="s">
        <v>174</v>
      </c>
      <c r="B6" s="40" t="s">
        <v>175</v>
      </c>
      <c r="C6" s="41"/>
    </row>
    <row r="7" spans="1:6" ht="15.75" customHeight="1" x14ac:dyDescent="0.4">
      <c r="A7" s="4" t="s">
        <v>176</v>
      </c>
      <c r="B7" s="40" t="s">
        <v>177</v>
      </c>
      <c r="C7" s="41"/>
    </row>
    <row r="8" spans="1:6" ht="15.75" customHeight="1" x14ac:dyDescent="0.4">
      <c r="A8" s="4" t="s">
        <v>178</v>
      </c>
      <c r="B8" s="40" t="s">
        <v>179</v>
      </c>
      <c r="C8" s="41"/>
    </row>
    <row r="9" spans="1:6" ht="15.75" customHeight="1" x14ac:dyDescent="0.4"/>
    <row r="10" spans="1:6" ht="15.75" customHeight="1" x14ac:dyDescent="0.4"/>
    <row r="11" spans="1:6" ht="15.75" customHeight="1" x14ac:dyDescent="0.4">
      <c r="A11" s="42" t="s">
        <v>180</v>
      </c>
      <c r="B11" s="41"/>
      <c r="C11" s="41"/>
      <c r="D11" s="41"/>
      <c r="E11" s="41"/>
      <c r="F11" s="41"/>
    </row>
    <row r="12" spans="1:6" ht="15.75" customHeight="1" x14ac:dyDescent="0.4">
      <c r="A12" s="4" t="s">
        <v>181</v>
      </c>
      <c r="B12" s="4" t="s">
        <v>182</v>
      </c>
      <c r="C12" s="4" t="s">
        <v>183</v>
      </c>
      <c r="D12" s="4" t="s">
        <v>184</v>
      </c>
      <c r="E12" s="4" t="s">
        <v>185</v>
      </c>
      <c r="F12" s="4" t="s">
        <v>186</v>
      </c>
    </row>
    <row r="13" spans="1:6" ht="15.75" customHeight="1" x14ac:dyDescent="0.4">
      <c r="A13" s="3" t="s">
        <v>187</v>
      </c>
      <c r="B13" s="3" t="s">
        <v>188</v>
      </c>
      <c r="F13" s="5">
        <v>45538</v>
      </c>
    </row>
    <row r="14" spans="1:6" ht="15.75" customHeight="1" x14ac:dyDescent="0.4">
      <c r="A14" s="3" t="s">
        <v>189</v>
      </c>
      <c r="B14" s="6" t="s">
        <v>190</v>
      </c>
      <c r="C14" s="6"/>
      <c r="F14" s="7"/>
    </row>
    <row r="15" spans="1:6" ht="15.75" customHeight="1" x14ac:dyDescent="0.4">
      <c r="A15" s="3" t="s">
        <v>191</v>
      </c>
      <c r="B15" s="6" t="s">
        <v>190</v>
      </c>
    </row>
    <row r="16" spans="1:6" ht="15.75" customHeight="1" x14ac:dyDescent="0.4">
      <c r="A16" s="3" t="s">
        <v>192</v>
      </c>
      <c r="B16" s="3" t="s">
        <v>193</v>
      </c>
    </row>
    <row r="17" ht="15.75" customHeight="1" x14ac:dyDescent="0.4"/>
    <row r="18" ht="15.75" customHeight="1" x14ac:dyDescent="0.4"/>
    <row r="19" ht="15.75" customHeight="1" x14ac:dyDescent="0.4"/>
    <row r="20" ht="15.75" customHeight="1" x14ac:dyDescent="0.4"/>
    <row r="21" ht="15.75" customHeight="1" x14ac:dyDescent="0.4"/>
    <row r="22" ht="15.75" customHeight="1" x14ac:dyDescent="0.4"/>
    <row r="23" ht="15.75" customHeight="1" x14ac:dyDescent="0.4"/>
    <row r="24" ht="15.75" customHeight="1" x14ac:dyDescent="0.4"/>
    <row r="25" ht="15.75" customHeight="1" x14ac:dyDescent="0.4"/>
    <row r="26" ht="15.75" customHeight="1" x14ac:dyDescent="0.4"/>
    <row r="27" ht="15.75" customHeight="1" x14ac:dyDescent="0.4"/>
    <row r="28" ht="15.75" customHeight="1" x14ac:dyDescent="0.4"/>
    <row r="29" ht="15.75" customHeight="1" x14ac:dyDescent="0.4"/>
    <row r="30" ht="15.75" customHeight="1" x14ac:dyDescent="0.4"/>
    <row r="31" ht="15.75" customHeight="1" x14ac:dyDescent="0.4"/>
    <row r="32" ht="15.75" customHeight="1" x14ac:dyDescent="0.4"/>
    <row r="33" ht="15.75" customHeight="1" x14ac:dyDescent="0.4"/>
    <row r="34" ht="15.75" customHeight="1" x14ac:dyDescent="0.4"/>
    <row r="35" ht="15.75" customHeight="1" x14ac:dyDescent="0.4"/>
    <row r="36" ht="15.75" customHeight="1" x14ac:dyDescent="0.4"/>
    <row r="37" ht="15.75" customHeight="1" x14ac:dyDescent="0.4"/>
    <row r="38" ht="15.75" customHeight="1" x14ac:dyDescent="0.4"/>
    <row r="39" ht="15.75" customHeight="1" x14ac:dyDescent="0.4"/>
    <row r="40" ht="15.75" customHeight="1" x14ac:dyDescent="0.4"/>
    <row r="41" ht="15.75" customHeight="1" x14ac:dyDescent="0.4"/>
    <row r="42" ht="15.75" customHeight="1" x14ac:dyDescent="0.4"/>
    <row r="43" ht="15.75" customHeight="1" x14ac:dyDescent="0.4"/>
    <row r="44" ht="15.75" customHeight="1" x14ac:dyDescent="0.4"/>
    <row r="45" ht="15.75" customHeight="1" x14ac:dyDescent="0.4"/>
    <row r="46" ht="15.75" customHeight="1" x14ac:dyDescent="0.4"/>
    <row r="47" ht="15.75" customHeight="1" x14ac:dyDescent="0.4"/>
    <row r="48" ht="15.75" customHeight="1" x14ac:dyDescent="0.4"/>
    <row r="49" ht="15.75" customHeight="1" x14ac:dyDescent="0.4"/>
    <row r="50" ht="15.75" customHeight="1" x14ac:dyDescent="0.4"/>
    <row r="51" ht="15.75" customHeight="1" x14ac:dyDescent="0.4"/>
    <row r="52" ht="15.75" customHeight="1" x14ac:dyDescent="0.4"/>
    <row r="53" ht="15.75" customHeight="1" x14ac:dyDescent="0.4"/>
    <row r="54" ht="15.75" customHeight="1" x14ac:dyDescent="0.4"/>
    <row r="55" ht="15.75" customHeight="1" x14ac:dyDescent="0.4"/>
    <row r="56" ht="15.75" customHeight="1" x14ac:dyDescent="0.4"/>
    <row r="57" ht="15.75" customHeight="1" x14ac:dyDescent="0.4"/>
    <row r="58" ht="15.75" customHeight="1" x14ac:dyDescent="0.4"/>
    <row r="59" ht="15.75" customHeight="1" x14ac:dyDescent="0.4"/>
    <row r="60" ht="15.75" customHeight="1" x14ac:dyDescent="0.4"/>
    <row r="61" ht="15.75" customHeight="1" x14ac:dyDescent="0.4"/>
    <row r="62" ht="15.75" customHeight="1" x14ac:dyDescent="0.4"/>
    <row r="63" ht="15.75" customHeight="1" x14ac:dyDescent="0.4"/>
    <row r="64" ht="15.75" customHeight="1" x14ac:dyDescent="0.4"/>
    <row r="65" ht="15.75" customHeight="1" x14ac:dyDescent="0.4"/>
    <row r="66" ht="15.75" customHeight="1" x14ac:dyDescent="0.4"/>
    <row r="67" ht="15.75" customHeight="1" x14ac:dyDescent="0.4"/>
    <row r="68" ht="15.75" customHeight="1" x14ac:dyDescent="0.4"/>
    <row r="69" ht="15.75" customHeight="1" x14ac:dyDescent="0.4"/>
    <row r="70" ht="15.75" customHeight="1" x14ac:dyDescent="0.4"/>
    <row r="71" ht="15.75" customHeight="1" x14ac:dyDescent="0.4"/>
    <row r="72" ht="15.75" customHeight="1" x14ac:dyDescent="0.4"/>
    <row r="73" ht="15.75" customHeight="1" x14ac:dyDescent="0.4"/>
    <row r="74" ht="15.75" customHeight="1" x14ac:dyDescent="0.4"/>
    <row r="75" ht="15.75" customHeight="1" x14ac:dyDescent="0.4"/>
    <row r="76" ht="15.75" customHeight="1" x14ac:dyDescent="0.4"/>
    <row r="77" ht="15.75" customHeight="1" x14ac:dyDescent="0.4"/>
    <row r="78" ht="15.75" customHeight="1" x14ac:dyDescent="0.4"/>
    <row r="79" ht="15.75" customHeight="1" x14ac:dyDescent="0.4"/>
    <row r="80" ht="15.75" customHeight="1" x14ac:dyDescent="0.4"/>
    <row r="81" ht="15.75" customHeight="1" x14ac:dyDescent="0.4"/>
    <row r="82" ht="15.75" customHeight="1" x14ac:dyDescent="0.4"/>
    <row r="83" ht="15.75" customHeight="1" x14ac:dyDescent="0.4"/>
    <row r="84" ht="15.75" customHeight="1" x14ac:dyDescent="0.4"/>
    <row r="85" ht="15.75" customHeight="1" x14ac:dyDescent="0.4"/>
    <row r="86" ht="15.75" customHeight="1" x14ac:dyDescent="0.4"/>
    <row r="87" ht="15.75" customHeight="1" x14ac:dyDescent="0.4"/>
    <row r="88" ht="15.75" customHeight="1" x14ac:dyDescent="0.4"/>
    <row r="89" ht="15.75" customHeight="1" x14ac:dyDescent="0.4"/>
    <row r="90" ht="15.75" customHeight="1" x14ac:dyDescent="0.4"/>
    <row r="91" ht="15.75" customHeight="1" x14ac:dyDescent="0.4"/>
    <row r="92" ht="15.75" customHeight="1" x14ac:dyDescent="0.4"/>
    <row r="93" ht="15.75" customHeight="1" x14ac:dyDescent="0.4"/>
    <row r="94" ht="15.75" customHeight="1" x14ac:dyDescent="0.4"/>
    <row r="95" ht="15.75" customHeight="1" x14ac:dyDescent="0.4"/>
    <row r="96" ht="15.75" customHeight="1" x14ac:dyDescent="0.4"/>
    <row r="97" ht="15.75" customHeight="1" x14ac:dyDescent="0.4"/>
    <row r="98" ht="15.75" customHeight="1" x14ac:dyDescent="0.4"/>
    <row r="99" ht="15.75" customHeight="1" x14ac:dyDescent="0.4"/>
    <row r="100" ht="15.75" customHeight="1" x14ac:dyDescent="0.4"/>
    <row r="101" ht="15.75" customHeight="1" x14ac:dyDescent="0.4"/>
    <row r="102" ht="15.75" customHeight="1" x14ac:dyDescent="0.4"/>
    <row r="103" ht="15.75" customHeight="1" x14ac:dyDescent="0.4"/>
    <row r="104" ht="15.75" customHeight="1" x14ac:dyDescent="0.4"/>
    <row r="105" ht="15.75" customHeight="1" x14ac:dyDescent="0.4"/>
    <row r="106" ht="15.75" customHeight="1" x14ac:dyDescent="0.4"/>
    <row r="107" ht="15.75" customHeight="1" x14ac:dyDescent="0.4"/>
    <row r="108" ht="15.75" customHeight="1" x14ac:dyDescent="0.4"/>
    <row r="109" ht="15.75" customHeight="1" x14ac:dyDescent="0.4"/>
    <row r="110" ht="15.75" customHeight="1" x14ac:dyDescent="0.4"/>
    <row r="111" ht="15.75" customHeight="1" x14ac:dyDescent="0.4"/>
    <row r="112" ht="15.75" customHeight="1" x14ac:dyDescent="0.4"/>
    <row r="113" ht="15.75" customHeight="1" x14ac:dyDescent="0.4"/>
    <row r="114" ht="15.75" customHeight="1" x14ac:dyDescent="0.4"/>
    <row r="115" ht="15.75" customHeight="1" x14ac:dyDescent="0.4"/>
    <row r="116" ht="15.75" customHeight="1" x14ac:dyDescent="0.4"/>
    <row r="117" ht="15.75" customHeight="1" x14ac:dyDescent="0.4"/>
    <row r="118" ht="15.75" customHeight="1" x14ac:dyDescent="0.4"/>
    <row r="119" ht="15.75" customHeight="1" x14ac:dyDescent="0.4"/>
    <row r="120" ht="15.75" customHeight="1" x14ac:dyDescent="0.4"/>
    <row r="121" ht="15.75" customHeight="1" x14ac:dyDescent="0.4"/>
    <row r="122" ht="15.75" customHeight="1" x14ac:dyDescent="0.4"/>
    <row r="123" ht="15.75" customHeight="1" x14ac:dyDescent="0.4"/>
    <row r="124" ht="15.75" customHeight="1" x14ac:dyDescent="0.4"/>
    <row r="125" ht="15.75" customHeight="1" x14ac:dyDescent="0.4"/>
    <row r="126" ht="15.75" customHeight="1" x14ac:dyDescent="0.4"/>
    <row r="127" ht="15.75" customHeight="1" x14ac:dyDescent="0.4"/>
    <row r="128" ht="15.75" customHeight="1" x14ac:dyDescent="0.4"/>
    <row r="129" ht="15.75" customHeight="1" x14ac:dyDescent="0.4"/>
    <row r="130" ht="15.75" customHeight="1" x14ac:dyDescent="0.4"/>
    <row r="131" ht="15.75" customHeight="1" x14ac:dyDescent="0.4"/>
    <row r="132" ht="15.75" customHeight="1" x14ac:dyDescent="0.4"/>
    <row r="133" ht="15.75" customHeight="1" x14ac:dyDescent="0.4"/>
    <row r="134" ht="15.75" customHeight="1" x14ac:dyDescent="0.4"/>
    <row r="135" ht="15.75" customHeight="1" x14ac:dyDescent="0.4"/>
    <row r="136" ht="15.75" customHeight="1" x14ac:dyDescent="0.4"/>
    <row r="137" ht="15.75" customHeight="1" x14ac:dyDescent="0.4"/>
    <row r="138" ht="15.75" customHeight="1" x14ac:dyDescent="0.4"/>
    <row r="139" ht="15.75" customHeight="1" x14ac:dyDescent="0.4"/>
    <row r="140" ht="15.75" customHeight="1" x14ac:dyDescent="0.4"/>
    <row r="141" ht="15.75" customHeight="1" x14ac:dyDescent="0.4"/>
    <row r="142" ht="15.75" customHeight="1" x14ac:dyDescent="0.4"/>
    <row r="143" ht="15.75" customHeight="1" x14ac:dyDescent="0.4"/>
    <row r="144" ht="15.75" customHeight="1" x14ac:dyDescent="0.4"/>
    <row r="145" ht="15.75" customHeight="1" x14ac:dyDescent="0.4"/>
    <row r="146" ht="15.75" customHeight="1" x14ac:dyDescent="0.4"/>
    <row r="147" ht="15.75" customHeight="1" x14ac:dyDescent="0.4"/>
    <row r="148" ht="15.75" customHeight="1" x14ac:dyDescent="0.4"/>
    <row r="149" ht="15.75" customHeight="1" x14ac:dyDescent="0.4"/>
    <row r="150" ht="15.75" customHeight="1" x14ac:dyDescent="0.4"/>
    <row r="151" ht="15.75" customHeight="1" x14ac:dyDescent="0.4"/>
    <row r="152" ht="15.75" customHeight="1" x14ac:dyDescent="0.4"/>
    <row r="153" ht="15.75" customHeight="1" x14ac:dyDescent="0.4"/>
    <row r="154" ht="15.75" customHeight="1" x14ac:dyDescent="0.4"/>
    <row r="155" ht="15.75" customHeight="1" x14ac:dyDescent="0.4"/>
    <row r="156" ht="15.75" customHeight="1" x14ac:dyDescent="0.4"/>
    <row r="157" ht="15.75" customHeight="1" x14ac:dyDescent="0.4"/>
    <row r="158" ht="15.75" customHeight="1" x14ac:dyDescent="0.4"/>
    <row r="159" ht="15.75" customHeight="1" x14ac:dyDescent="0.4"/>
    <row r="160" ht="15.75" customHeight="1" x14ac:dyDescent="0.4"/>
    <row r="161" ht="15.75" customHeight="1" x14ac:dyDescent="0.4"/>
    <row r="162" ht="15.75" customHeight="1" x14ac:dyDescent="0.4"/>
    <row r="163" ht="15.75" customHeight="1" x14ac:dyDescent="0.4"/>
    <row r="164" ht="15.75" customHeight="1" x14ac:dyDescent="0.4"/>
    <row r="165" ht="15.75" customHeight="1" x14ac:dyDescent="0.4"/>
    <row r="166" ht="15.75" customHeight="1" x14ac:dyDescent="0.4"/>
    <row r="167" ht="15.75" customHeight="1" x14ac:dyDescent="0.4"/>
    <row r="168" ht="15.75" customHeight="1" x14ac:dyDescent="0.4"/>
    <row r="169" ht="15.75" customHeight="1" x14ac:dyDescent="0.4"/>
    <row r="170" ht="15.75" customHeight="1" x14ac:dyDescent="0.4"/>
    <row r="171" ht="15.75" customHeight="1" x14ac:dyDescent="0.4"/>
    <row r="172" ht="15.75" customHeight="1" x14ac:dyDescent="0.4"/>
    <row r="173" ht="15.75" customHeight="1" x14ac:dyDescent="0.4"/>
    <row r="174" ht="15.75" customHeight="1" x14ac:dyDescent="0.4"/>
    <row r="175" ht="15.75" customHeight="1" x14ac:dyDescent="0.4"/>
    <row r="176" ht="15.75" customHeight="1" x14ac:dyDescent="0.4"/>
    <row r="177" ht="15.75" customHeight="1" x14ac:dyDescent="0.4"/>
    <row r="178" ht="15.75" customHeight="1" x14ac:dyDescent="0.4"/>
    <row r="179" ht="15.75" customHeight="1" x14ac:dyDescent="0.4"/>
    <row r="180" ht="15.75" customHeight="1" x14ac:dyDescent="0.4"/>
    <row r="181" ht="15.75" customHeight="1" x14ac:dyDescent="0.4"/>
    <row r="182" ht="15.75" customHeight="1" x14ac:dyDescent="0.4"/>
    <row r="183" ht="15.75" customHeight="1" x14ac:dyDescent="0.4"/>
    <row r="184" ht="15.75" customHeight="1" x14ac:dyDescent="0.4"/>
    <row r="185" ht="15.75" customHeight="1" x14ac:dyDescent="0.4"/>
    <row r="186" ht="15.75" customHeight="1" x14ac:dyDescent="0.4"/>
    <row r="187" ht="15.75" customHeight="1" x14ac:dyDescent="0.4"/>
    <row r="188" ht="15.75" customHeight="1" x14ac:dyDescent="0.4"/>
    <row r="189" ht="15.75" customHeight="1" x14ac:dyDescent="0.4"/>
    <row r="190" ht="15.75" customHeight="1" x14ac:dyDescent="0.4"/>
    <row r="191" ht="15.75" customHeight="1" x14ac:dyDescent="0.4"/>
    <row r="192" ht="15.75" customHeight="1" x14ac:dyDescent="0.4"/>
    <row r="193" ht="15.75" customHeight="1" x14ac:dyDescent="0.4"/>
    <row r="194" ht="15.75" customHeight="1" x14ac:dyDescent="0.4"/>
    <row r="195" ht="15.75" customHeight="1" x14ac:dyDescent="0.4"/>
    <row r="196" ht="15.75" customHeight="1" x14ac:dyDescent="0.4"/>
    <row r="197" ht="15.75" customHeight="1" x14ac:dyDescent="0.4"/>
    <row r="198" ht="15.75" customHeight="1" x14ac:dyDescent="0.4"/>
    <row r="199" ht="15.75" customHeight="1" x14ac:dyDescent="0.4"/>
    <row r="200" ht="15.75" customHeight="1" x14ac:dyDescent="0.4"/>
    <row r="201" ht="15.75" customHeight="1" x14ac:dyDescent="0.4"/>
    <row r="202" ht="15.75" customHeight="1" x14ac:dyDescent="0.4"/>
    <row r="203" ht="15.75" customHeight="1" x14ac:dyDescent="0.4"/>
    <row r="204" ht="15.75" customHeight="1" x14ac:dyDescent="0.4"/>
    <row r="205" ht="15.75" customHeight="1" x14ac:dyDescent="0.4"/>
    <row r="206" ht="15.75" customHeight="1" x14ac:dyDescent="0.4"/>
    <row r="207" ht="15.75" customHeight="1" x14ac:dyDescent="0.4"/>
    <row r="208" ht="15.75" customHeight="1" x14ac:dyDescent="0.4"/>
    <row r="209" ht="15.75" customHeight="1" x14ac:dyDescent="0.4"/>
    <row r="210" ht="15.75" customHeight="1" x14ac:dyDescent="0.4"/>
    <row r="211" ht="15.75" customHeight="1" x14ac:dyDescent="0.4"/>
    <row r="212" ht="15.75" customHeight="1" x14ac:dyDescent="0.4"/>
    <row r="213" ht="15.75" customHeight="1" x14ac:dyDescent="0.4"/>
    <row r="214" ht="15.75" customHeight="1" x14ac:dyDescent="0.4"/>
    <row r="215" ht="15.75" customHeight="1" x14ac:dyDescent="0.4"/>
    <row r="216" ht="15.75" customHeight="1" x14ac:dyDescent="0.4"/>
    <row r="217" ht="15.75" customHeight="1" x14ac:dyDescent="0.4"/>
    <row r="218" ht="15.75" customHeight="1" x14ac:dyDescent="0.4"/>
    <row r="219" ht="15.75" customHeight="1" x14ac:dyDescent="0.4"/>
    <row r="220" ht="15.75" customHeight="1" x14ac:dyDescent="0.4"/>
    <row r="221" ht="15.75" customHeight="1" x14ac:dyDescent="0.4"/>
    <row r="222" ht="15.75" customHeight="1" x14ac:dyDescent="0.4"/>
    <row r="223" ht="15.75" customHeight="1" x14ac:dyDescent="0.4"/>
    <row r="224" ht="15.75" customHeight="1" x14ac:dyDescent="0.4"/>
    <row r="225" ht="15.75" customHeight="1" x14ac:dyDescent="0.4"/>
    <row r="226" ht="15.75" customHeight="1" x14ac:dyDescent="0.4"/>
    <row r="227" ht="15.75" customHeight="1" x14ac:dyDescent="0.4"/>
    <row r="228" ht="15.75" customHeight="1" x14ac:dyDescent="0.4"/>
    <row r="229" ht="15.75" customHeight="1" x14ac:dyDescent="0.4"/>
    <row r="230" ht="15.75" customHeight="1" x14ac:dyDescent="0.4"/>
    <row r="231" ht="15.75" customHeight="1" x14ac:dyDescent="0.4"/>
    <row r="232" ht="15.75" customHeight="1" x14ac:dyDescent="0.4"/>
    <row r="233" ht="15.75" customHeight="1" x14ac:dyDescent="0.4"/>
    <row r="234" ht="15.75" customHeight="1" x14ac:dyDescent="0.4"/>
    <row r="235" ht="15.75" customHeight="1" x14ac:dyDescent="0.4"/>
    <row r="236" ht="15.75" customHeight="1" x14ac:dyDescent="0.4"/>
    <row r="237" ht="15.75" customHeight="1" x14ac:dyDescent="0.4"/>
    <row r="238" ht="15.75" customHeight="1" x14ac:dyDescent="0.4"/>
    <row r="239" ht="15.75" customHeight="1" x14ac:dyDescent="0.4"/>
    <row r="240" ht="15.75" customHeight="1" x14ac:dyDescent="0.4"/>
    <row r="241" ht="15.75" customHeight="1" x14ac:dyDescent="0.4"/>
    <row r="242" ht="15.75" customHeight="1" x14ac:dyDescent="0.4"/>
    <row r="243" ht="15.75" customHeight="1" x14ac:dyDescent="0.4"/>
    <row r="244" ht="15.75" customHeight="1" x14ac:dyDescent="0.4"/>
    <row r="245" ht="15.75" customHeight="1" x14ac:dyDescent="0.4"/>
    <row r="246" ht="15.75" customHeight="1" x14ac:dyDescent="0.4"/>
    <row r="247" ht="15.75" customHeight="1" x14ac:dyDescent="0.4"/>
    <row r="248" ht="15.75" customHeight="1" x14ac:dyDescent="0.4"/>
    <row r="249" ht="15.75" customHeight="1" x14ac:dyDescent="0.4"/>
    <row r="250" ht="15.75" customHeight="1" x14ac:dyDescent="0.4"/>
    <row r="251" ht="15.75" customHeight="1" x14ac:dyDescent="0.4"/>
    <row r="252" ht="15.75" customHeight="1" x14ac:dyDescent="0.4"/>
    <row r="253" ht="15.75" customHeight="1" x14ac:dyDescent="0.4"/>
    <row r="254" ht="15.75" customHeight="1" x14ac:dyDescent="0.4"/>
    <row r="255" ht="15.75" customHeight="1" x14ac:dyDescent="0.4"/>
    <row r="256" ht="15.75" customHeight="1" x14ac:dyDescent="0.4"/>
    <row r="257" ht="15.75" customHeight="1" x14ac:dyDescent="0.4"/>
    <row r="258" ht="15.75" customHeight="1" x14ac:dyDescent="0.4"/>
    <row r="259" ht="15.75" customHeight="1" x14ac:dyDescent="0.4"/>
    <row r="260" ht="15.75" customHeight="1" x14ac:dyDescent="0.4"/>
    <row r="261" ht="15.75" customHeight="1" x14ac:dyDescent="0.4"/>
    <row r="262" ht="15.75" customHeight="1" x14ac:dyDescent="0.4"/>
    <row r="263" ht="15.75" customHeight="1" x14ac:dyDescent="0.4"/>
    <row r="264" ht="15.75" customHeight="1" x14ac:dyDescent="0.4"/>
    <row r="265" ht="15.75" customHeight="1" x14ac:dyDescent="0.4"/>
    <row r="266" ht="15.75" customHeight="1" x14ac:dyDescent="0.4"/>
    <row r="267" ht="15.75" customHeight="1" x14ac:dyDescent="0.4"/>
    <row r="268" ht="15.75" customHeight="1" x14ac:dyDescent="0.4"/>
    <row r="269" ht="15.75" customHeight="1" x14ac:dyDescent="0.4"/>
    <row r="270" ht="15.75" customHeight="1" x14ac:dyDescent="0.4"/>
    <row r="271" ht="15.75" customHeight="1" x14ac:dyDescent="0.4"/>
    <row r="272" ht="15.75" customHeight="1" x14ac:dyDescent="0.4"/>
    <row r="273" ht="15.75" customHeight="1" x14ac:dyDescent="0.4"/>
    <row r="274" ht="15.75" customHeight="1" x14ac:dyDescent="0.4"/>
    <row r="275" ht="15.75" customHeight="1" x14ac:dyDescent="0.4"/>
    <row r="276" ht="15.75" customHeight="1" x14ac:dyDescent="0.4"/>
    <row r="277" ht="15.75" customHeight="1" x14ac:dyDescent="0.4"/>
    <row r="278" ht="15.75" customHeight="1" x14ac:dyDescent="0.4"/>
    <row r="279" ht="15.75" customHeight="1" x14ac:dyDescent="0.4"/>
    <row r="280" ht="15.75" customHeight="1" x14ac:dyDescent="0.4"/>
    <row r="281" ht="15.75" customHeight="1" x14ac:dyDescent="0.4"/>
    <row r="282" ht="15.75" customHeight="1" x14ac:dyDescent="0.4"/>
    <row r="283" ht="15.75" customHeight="1" x14ac:dyDescent="0.4"/>
    <row r="284" ht="15.75" customHeight="1" x14ac:dyDescent="0.4"/>
    <row r="285" ht="15.75" customHeight="1" x14ac:dyDescent="0.4"/>
    <row r="286" ht="15.75" customHeight="1" x14ac:dyDescent="0.4"/>
    <row r="287" ht="15.75" customHeight="1" x14ac:dyDescent="0.4"/>
    <row r="288" ht="15.75" customHeight="1" x14ac:dyDescent="0.4"/>
    <row r="289" ht="15.75" customHeight="1" x14ac:dyDescent="0.4"/>
    <row r="290" ht="15.75" customHeight="1" x14ac:dyDescent="0.4"/>
    <row r="291" ht="15.75" customHeight="1" x14ac:dyDescent="0.4"/>
    <row r="292" ht="15.75" customHeight="1" x14ac:dyDescent="0.4"/>
    <row r="293" ht="15.75" customHeight="1" x14ac:dyDescent="0.4"/>
    <row r="294" ht="15.75" customHeight="1" x14ac:dyDescent="0.4"/>
    <row r="295" ht="15.75" customHeight="1" x14ac:dyDescent="0.4"/>
    <row r="296" ht="15.75" customHeight="1" x14ac:dyDescent="0.4"/>
    <row r="297" ht="15.75" customHeight="1" x14ac:dyDescent="0.4"/>
    <row r="298" ht="15.75" customHeight="1" x14ac:dyDescent="0.4"/>
    <row r="299" ht="15.75" customHeight="1" x14ac:dyDescent="0.4"/>
    <row r="300" ht="15.75" customHeight="1" x14ac:dyDescent="0.4"/>
    <row r="301" ht="15.75" customHeight="1" x14ac:dyDescent="0.4"/>
    <row r="302" ht="15.75" customHeight="1" x14ac:dyDescent="0.4"/>
    <row r="303" ht="15.75" customHeight="1" x14ac:dyDescent="0.4"/>
    <row r="304" ht="15.75" customHeight="1" x14ac:dyDescent="0.4"/>
    <row r="305" ht="15.75" customHeight="1" x14ac:dyDescent="0.4"/>
    <row r="306" ht="15.75" customHeight="1" x14ac:dyDescent="0.4"/>
    <row r="307" ht="15.75" customHeight="1" x14ac:dyDescent="0.4"/>
    <row r="308" ht="15.75" customHeight="1" x14ac:dyDescent="0.4"/>
    <row r="309" ht="15.75" customHeight="1" x14ac:dyDescent="0.4"/>
    <row r="310" ht="15.75" customHeight="1" x14ac:dyDescent="0.4"/>
    <row r="311" ht="15.75" customHeight="1" x14ac:dyDescent="0.4"/>
    <row r="312" ht="15.75" customHeight="1" x14ac:dyDescent="0.4"/>
    <row r="313" ht="15.75" customHeight="1" x14ac:dyDescent="0.4"/>
    <row r="314" ht="15.75" customHeight="1" x14ac:dyDescent="0.4"/>
    <row r="315" ht="15.75" customHeight="1" x14ac:dyDescent="0.4"/>
    <row r="316" ht="15.75" customHeight="1" x14ac:dyDescent="0.4"/>
    <row r="317" ht="15.75" customHeight="1" x14ac:dyDescent="0.4"/>
    <row r="318" ht="15.75" customHeight="1" x14ac:dyDescent="0.4"/>
    <row r="319" ht="15.75" customHeight="1" x14ac:dyDescent="0.4"/>
    <row r="320" ht="15.75" customHeight="1" x14ac:dyDescent="0.4"/>
    <row r="321" ht="15.75" customHeight="1" x14ac:dyDescent="0.4"/>
    <row r="322" ht="15.75" customHeight="1" x14ac:dyDescent="0.4"/>
    <row r="323" ht="15.75" customHeight="1" x14ac:dyDescent="0.4"/>
    <row r="324" ht="15.75" customHeight="1" x14ac:dyDescent="0.4"/>
    <row r="325" ht="15.75" customHeight="1" x14ac:dyDescent="0.4"/>
    <row r="326" ht="15.75" customHeight="1" x14ac:dyDescent="0.4"/>
    <row r="327" ht="15.75" customHeight="1" x14ac:dyDescent="0.4"/>
    <row r="328" ht="15.75" customHeight="1" x14ac:dyDescent="0.4"/>
    <row r="329" ht="15.75" customHeight="1" x14ac:dyDescent="0.4"/>
    <row r="330" ht="15.75" customHeight="1" x14ac:dyDescent="0.4"/>
    <row r="331" ht="15.75" customHeight="1" x14ac:dyDescent="0.4"/>
    <row r="332" ht="15.75" customHeight="1" x14ac:dyDescent="0.4"/>
    <row r="333" ht="15.75" customHeight="1" x14ac:dyDescent="0.4"/>
    <row r="334" ht="15.75" customHeight="1" x14ac:dyDescent="0.4"/>
    <row r="335" ht="15.75" customHeight="1" x14ac:dyDescent="0.4"/>
    <row r="336" ht="15.75" customHeight="1" x14ac:dyDescent="0.4"/>
    <row r="337" ht="15.75" customHeight="1" x14ac:dyDescent="0.4"/>
    <row r="338" ht="15.75" customHeight="1" x14ac:dyDescent="0.4"/>
    <row r="339" ht="15.75" customHeight="1" x14ac:dyDescent="0.4"/>
    <row r="340" ht="15.75" customHeight="1" x14ac:dyDescent="0.4"/>
    <row r="341" ht="15.75" customHeight="1" x14ac:dyDescent="0.4"/>
    <row r="342" ht="15.75" customHeight="1" x14ac:dyDescent="0.4"/>
    <row r="343" ht="15.75" customHeight="1" x14ac:dyDescent="0.4"/>
    <row r="344" ht="15.75" customHeight="1" x14ac:dyDescent="0.4"/>
    <row r="345" ht="15.75" customHeight="1" x14ac:dyDescent="0.4"/>
    <row r="346" ht="15.75" customHeight="1" x14ac:dyDescent="0.4"/>
    <row r="347" ht="15.75" customHeight="1" x14ac:dyDescent="0.4"/>
    <row r="348" ht="15.75" customHeight="1" x14ac:dyDescent="0.4"/>
    <row r="349" ht="15.75" customHeight="1" x14ac:dyDescent="0.4"/>
    <row r="350" ht="15.75" customHeight="1" x14ac:dyDescent="0.4"/>
    <row r="351" ht="15.75" customHeight="1" x14ac:dyDescent="0.4"/>
    <row r="352" ht="15.75" customHeight="1" x14ac:dyDescent="0.4"/>
    <row r="353" ht="15.75" customHeight="1" x14ac:dyDescent="0.4"/>
    <row r="354" ht="15.75" customHeight="1" x14ac:dyDescent="0.4"/>
    <row r="355" ht="15.75" customHeight="1" x14ac:dyDescent="0.4"/>
    <row r="356" ht="15.75" customHeight="1" x14ac:dyDescent="0.4"/>
    <row r="357" ht="15.75" customHeight="1" x14ac:dyDescent="0.4"/>
    <row r="358" ht="15.75" customHeight="1" x14ac:dyDescent="0.4"/>
    <row r="359" ht="15.75" customHeight="1" x14ac:dyDescent="0.4"/>
    <row r="360" ht="15.75" customHeight="1" x14ac:dyDescent="0.4"/>
    <row r="361" ht="15.75" customHeight="1" x14ac:dyDescent="0.4"/>
    <row r="362" ht="15.75" customHeight="1" x14ac:dyDescent="0.4"/>
    <row r="363" ht="15.75" customHeight="1" x14ac:dyDescent="0.4"/>
    <row r="364" ht="15.75" customHeight="1" x14ac:dyDescent="0.4"/>
    <row r="365" ht="15.75" customHeight="1" x14ac:dyDescent="0.4"/>
    <row r="366" ht="15.75" customHeight="1" x14ac:dyDescent="0.4"/>
    <row r="367" ht="15.75" customHeight="1" x14ac:dyDescent="0.4"/>
    <row r="368" ht="15.75" customHeight="1" x14ac:dyDescent="0.4"/>
    <row r="369" ht="15.75" customHeight="1" x14ac:dyDescent="0.4"/>
    <row r="370" ht="15.75" customHeight="1" x14ac:dyDescent="0.4"/>
    <row r="371" ht="15.75" customHeight="1" x14ac:dyDescent="0.4"/>
    <row r="372" ht="15.75" customHeight="1" x14ac:dyDescent="0.4"/>
    <row r="373" ht="15.75" customHeight="1" x14ac:dyDescent="0.4"/>
    <row r="374" ht="15.75" customHeight="1" x14ac:dyDescent="0.4"/>
    <row r="375" ht="15.75" customHeight="1" x14ac:dyDescent="0.4"/>
    <row r="376" ht="15.75" customHeight="1" x14ac:dyDescent="0.4"/>
    <row r="377" ht="15.75" customHeight="1" x14ac:dyDescent="0.4"/>
    <row r="378" ht="15.75" customHeight="1" x14ac:dyDescent="0.4"/>
    <row r="379" ht="15.75" customHeight="1" x14ac:dyDescent="0.4"/>
    <row r="380" ht="15.75" customHeight="1" x14ac:dyDescent="0.4"/>
    <row r="381" ht="15.75" customHeight="1" x14ac:dyDescent="0.4"/>
    <row r="382" ht="15.75" customHeight="1" x14ac:dyDescent="0.4"/>
    <row r="383" ht="15.75" customHeight="1" x14ac:dyDescent="0.4"/>
    <row r="384" ht="15.75" customHeight="1" x14ac:dyDescent="0.4"/>
    <row r="385" ht="15.75" customHeight="1" x14ac:dyDescent="0.4"/>
    <row r="386" ht="15.75" customHeight="1" x14ac:dyDescent="0.4"/>
    <row r="387" ht="15.75" customHeight="1" x14ac:dyDescent="0.4"/>
    <row r="388" ht="15.75" customHeight="1" x14ac:dyDescent="0.4"/>
    <row r="389" ht="15.75" customHeight="1" x14ac:dyDescent="0.4"/>
    <row r="390" ht="15.75" customHeight="1" x14ac:dyDescent="0.4"/>
    <row r="391" ht="15.75" customHeight="1" x14ac:dyDescent="0.4"/>
    <row r="392" ht="15.75" customHeight="1" x14ac:dyDescent="0.4"/>
    <row r="393" ht="15.75" customHeight="1" x14ac:dyDescent="0.4"/>
    <row r="394" ht="15.75" customHeight="1" x14ac:dyDescent="0.4"/>
    <row r="395" ht="15.75" customHeight="1" x14ac:dyDescent="0.4"/>
    <row r="396" ht="15.75" customHeight="1" x14ac:dyDescent="0.4"/>
    <row r="397" ht="15.75" customHeight="1" x14ac:dyDescent="0.4"/>
    <row r="398" ht="15.75" customHeight="1" x14ac:dyDescent="0.4"/>
    <row r="399" ht="15.75" customHeight="1" x14ac:dyDescent="0.4"/>
    <row r="400" ht="15.75" customHeight="1" x14ac:dyDescent="0.4"/>
    <row r="401" ht="15.75" customHeight="1" x14ac:dyDescent="0.4"/>
    <row r="402" ht="15.75" customHeight="1" x14ac:dyDescent="0.4"/>
    <row r="403" ht="15.75" customHeight="1" x14ac:dyDescent="0.4"/>
    <row r="404" ht="15.75" customHeight="1" x14ac:dyDescent="0.4"/>
    <row r="405" ht="15.75" customHeight="1" x14ac:dyDescent="0.4"/>
    <row r="406" ht="15.75" customHeight="1" x14ac:dyDescent="0.4"/>
    <row r="407" ht="15.75" customHeight="1" x14ac:dyDescent="0.4"/>
    <row r="408" ht="15.75" customHeight="1" x14ac:dyDescent="0.4"/>
    <row r="409" ht="15.75" customHeight="1" x14ac:dyDescent="0.4"/>
    <row r="410" ht="15.75" customHeight="1" x14ac:dyDescent="0.4"/>
    <row r="411" ht="15.75" customHeight="1" x14ac:dyDescent="0.4"/>
    <row r="412" ht="15.75" customHeight="1" x14ac:dyDescent="0.4"/>
    <row r="413" ht="15.75" customHeight="1" x14ac:dyDescent="0.4"/>
    <row r="414" ht="15.75" customHeight="1" x14ac:dyDescent="0.4"/>
    <row r="415" ht="15.75" customHeight="1" x14ac:dyDescent="0.4"/>
    <row r="416" ht="15.75" customHeight="1" x14ac:dyDescent="0.4"/>
    <row r="417" ht="15.75" customHeight="1" x14ac:dyDescent="0.4"/>
    <row r="418" ht="15.75" customHeight="1" x14ac:dyDescent="0.4"/>
    <row r="419" ht="15.75" customHeight="1" x14ac:dyDescent="0.4"/>
    <row r="420" ht="15.75" customHeight="1" x14ac:dyDescent="0.4"/>
    <row r="421" ht="15.75" customHeight="1" x14ac:dyDescent="0.4"/>
    <row r="422" ht="15.75" customHeight="1" x14ac:dyDescent="0.4"/>
    <row r="423" ht="15.75" customHeight="1" x14ac:dyDescent="0.4"/>
    <row r="424" ht="15.75" customHeight="1" x14ac:dyDescent="0.4"/>
    <row r="425" ht="15.75" customHeight="1" x14ac:dyDescent="0.4"/>
    <row r="426" ht="15.75" customHeight="1" x14ac:dyDescent="0.4"/>
    <row r="427" ht="15.75" customHeight="1" x14ac:dyDescent="0.4"/>
    <row r="428" ht="15.75" customHeight="1" x14ac:dyDescent="0.4"/>
    <row r="429" ht="15.75" customHeight="1" x14ac:dyDescent="0.4"/>
    <row r="430" ht="15.75" customHeight="1" x14ac:dyDescent="0.4"/>
    <row r="431" ht="15.75" customHeight="1" x14ac:dyDescent="0.4"/>
    <row r="432" ht="15.75" customHeight="1" x14ac:dyDescent="0.4"/>
    <row r="433" ht="15.75" customHeight="1" x14ac:dyDescent="0.4"/>
    <row r="434" ht="15.75" customHeight="1" x14ac:dyDescent="0.4"/>
    <row r="435" ht="15.75" customHeight="1" x14ac:dyDescent="0.4"/>
    <row r="436" ht="15.75" customHeight="1" x14ac:dyDescent="0.4"/>
    <row r="437" ht="15.75" customHeight="1" x14ac:dyDescent="0.4"/>
    <row r="438" ht="15.75" customHeight="1" x14ac:dyDescent="0.4"/>
    <row r="439" ht="15.75" customHeight="1" x14ac:dyDescent="0.4"/>
    <row r="440" ht="15.75" customHeight="1" x14ac:dyDescent="0.4"/>
    <row r="441" ht="15.75" customHeight="1" x14ac:dyDescent="0.4"/>
    <row r="442" ht="15.75" customHeight="1" x14ac:dyDescent="0.4"/>
    <row r="443" ht="15.75" customHeight="1" x14ac:dyDescent="0.4"/>
    <row r="444" ht="15.75" customHeight="1" x14ac:dyDescent="0.4"/>
    <row r="445" ht="15.75" customHeight="1" x14ac:dyDescent="0.4"/>
    <row r="446" ht="15.75" customHeight="1" x14ac:dyDescent="0.4"/>
    <row r="447" ht="15.75" customHeight="1" x14ac:dyDescent="0.4"/>
    <row r="448" ht="15.75" customHeight="1" x14ac:dyDescent="0.4"/>
    <row r="449" ht="15.75" customHeight="1" x14ac:dyDescent="0.4"/>
    <row r="450" ht="15.75" customHeight="1" x14ac:dyDescent="0.4"/>
    <row r="451" ht="15.75" customHeight="1" x14ac:dyDescent="0.4"/>
    <row r="452" ht="15.75" customHeight="1" x14ac:dyDescent="0.4"/>
    <row r="453" ht="15.75" customHeight="1" x14ac:dyDescent="0.4"/>
    <row r="454" ht="15.75" customHeight="1" x14ac:dyDescent="0.4"/>
    <row r="455" ht="15.75" customHeight="1" x14ac:dyDescent="0.4"/>
    <row r="456" ht="15.75" customHeight="1" x14ac:dyDescent="0.4"/>
    <row r="457" ht="15.75" customHeight="1" x14ac:dyDescent="0.4"/>
    <row r="458" ht="15.75" customHeight="1" x14ac:dyDescent="0.4"/>
    <row r="459" ht="15.75" customHeight="1" x14ac:dyDescent="0.4"/>
    <row r="460" ht="15.75" customHeight="1" x14ac:dyDescent="0.4"/>
    <row r="461" ht="15.75" customHeight="1" x14ac:dyDescent="0.4"/>
    <row r="462" ht="15.75" customHeight="1" x14ac:dyDescent="0.4"/>
    <row r="463" ht="15.75" customHeight="1" x14ac:dyDescent="0.4"/>
    <row r="464" ht="15.75" customHeight="1" x14ac:dyDescent="0.4"/>
    <row r="465" ht="15.75" customHeight="1" x14ac:dyDescent="0.4"/>
    <row r="466" ht="15.75" customHeight="1" x14ac:dyDescent="0.4"/>
    <row r="467" ht="15.75" customHeight="1" x14ac:dyDescent="0.4"/>
    <row r="468" ht="15.75" customHeight="1" x14ac:dyDescent="0.4"/>
    <row r="469" ht="15.75" customHeight="1" x14ac:dyDescent="0.4"/>
    <row r="470" ht="15.75" customHeight="1" x14ac:dyDescent="0.4"/>
    <row r="471" ht="15.75" customHeight="1" x14ac:dyDescent="0.4"/>
    <row r="472" ht="15.75" customHeight="1" x14ac:dyDescent="0.4"/>
    <row r="473" ht="15.75" customHeight="1" x14ac:dyDescent="0.4"/>
    <row r="474" ht="15.75" customHeight="1" x14ac:dyDescent="0.4"/>
    <row r="475" ht="15.75" customHeight="1" x14ac:dyDescent="0.4"/>
    <row r="476" ht="15.75" customHeight="1" x14ac:dyDescent="0.4"/>
    <row r="477" ht="15.75" customHeight="1" x14ac:dyDescent="0.4"/>
    <row r="478" ht="15.75" customHeight="1" x14ac:dyDescent="0.4"/>
    <row r="479" ht="15.75" customHeight="1" x14ac:dyDescent="0.4"/>
    <row r="480" ht="15.75" customHeight="1" x14ac:dyDescent="0.4"/>
    <row r="481" ht="15.75" customHeight="1" x14ac:dyDescent="0.4"/>
    <row r="482" ht="15.75" customHeight="1" x14ac:dyDescent="0.4"/>
    <row r="483" ht="15.75" customHeight="1" x14ac:dyDescent="0.4"/>
    <row r="484" ht="15.75" customHeight="1" x14ac:dyDescent="0.4"/>
    <row r="485" ht="15.75" customHeight="1" x14ac:dyDescent="0.4"/>
    <row r="486" ht="15.75" customHeight="1" x14ac:dyDescent="0.4"/>
    <row r="487" ht="15.75" customHeight="1" x14ac:dyDescent="0.4"/>
    <row r="488" ht="15.75" customHeight="1" x14ac:dyDescent="0.4"/>
    <row r="489" ht="15.75" customHeight="1" x14ac:dyDescent="0.4"/>
    <row r="490" ht="15.75" customHeight="1" x14ac:dyDescent="0.4"/>
    <row r="491" ht="15.75" customHeight="1" x14ac:dyDescent="0.4"/>
    <row r="492" ht="15.75" customHeight="1" x14ac:dyDescent="0.4"/>
    <row r="493" ht="15.75" customHeight="1" x14ac:dyDescent="0.4"/>
    <row r="494" ht="15.75" customHeight="1" x14ac:dyDescent="0.4"/>
    <row r="495" ht="15.75" customHeight="1" x14ac:dyDescent="0.4"/>
    <row r="496" ht="15.75" customHeight="1" x14ac:dyDescent="0.4"/>
    <row r="497" ht="15.75" customHeight="1" x14ac:dyDescent="0.4"/>
    <row r="498" ht="15.75" customHeight="1" x14ac:dyDescent="0.4"/>
    <row r="499" ht="15.75" customHeight="1" x14ac:dyDescent="0.4"/>
    <row r="500" ht="15.75" customHeight="1" x14ac:dyDescent="0.4"/>
    <row r="501" ht="15.75" customHeight="1" x14ac:dyDescent="0.4"/>
    <row r="502" ht="15.75" customHeight="1" x14ac:dyDescent="0.4"/>
    <row r="503" ht="15.75" customHeight="1" x14ac:dyDescent="0.4"/>
    <row r="504" ht="15.75" customHeight="1" x14ac:dyDescent="0.4"/>
    <row r="505" ht="15.75" customHeight="1" x14ac:dyDescent="0.4"/>
    <row r="506" ht="15.75" customHeight="1" x14ac:dyDescent="0.4"/>
    <row r="507" ht="15.75" customHeight="1" x14ac:dyDescent="0.4"/>
    <row r="508" ht="15.75" customHeight="1" x14ac:dyDescent="0.4"/>
    <row r="509" ht="15.75" customHeight="1" x14ac:dyDescent="0.4"/>
    <row r="510" ht="15.75" customHeight="1" x14ac:dyDescent="0.4"/>
    <row r="511" ht="15.75" customHeight="1" x14ac:dyDescent="0.4"/>
    <row r="512" ht="15.75" customHeight="1" x14ac:dyDescent="0.4"/>
    <row r="513" ht="15.75" customHeight="1" x14ac:dyDescent="0.4"/>
    <row r="514" ht="15.75" customHeight="1" x14ac:dyDescent="0.4"/>
    <row r="515" ht="15.75" customHeight="1" x14ac:dyDescent="0.4"/>
    <row r="516" ht="15.75" customHeight="1" x14ac:dyDescent="0.4"/>
    <row r="517" ht="15.75" customHeight="1" x14ac:dyDescent="0.4"/>
    <row r="518" ht="15.75" customHeight="1" x14ac:dyDescent="0.4"/>
    <row r="519" ht="15.75" customHeight="1" x14ac:dyDescent="0.4"/>
    <row r="520" ht="15.75" customHeight="1" x14ac:dyDescent="0.4"/>
    <row r="521" ht="15.75" customHeight="1" x14ac:dyDescent="0.4"/>
    <row r="522" ht="15.75" customHeight="1" x14ac:dyDescent="0.4"/>
    <row r="523" ht="15.75" customHeight="1" x14ac:dyDescent="0.4"/>
    <row r="524" ht="15.75" customHeight="1" x14ac:dyDescent="0.4"/>
    <row r="525" ht="15.75" customHeight="1" x14ac:dyDescent="0.4"/>
    <row r="526" ht="15.75" customHeight="1" x14ac:dyDescent="0.4"/>
    <row r="527" ht="15.75" customHeight="1" x14ac:dyDescent="0.4"/>
    <row r="528" ht="15.75" customHeight="1" x14ac:dyDescent="0.4"/>
    <row r="529" ht="15.75" customHeight="1" x14ac:dyDescent="0.4"/>
    <row r="530" ht="15.75" customHeight="1" x14ac:dyDescent="0.4"/>
    <row r="531" ht="15.75" customHeight="1" x14ac:dyDescent="0.4"/>
    <row r="532" ht="15.75" customHeight="1" x14ac:dyDescent="0.4"/>
    <row r="533" ht="15.75" customHeight="1" x14ac:dyDescent="0.4"/>
    <row r="534" ht="15.75" customHeight="1" x14ac:dyDescent="0.4"/>
    <row r="535" ht="15.75" customHeight="1" x14ac:dyDescent="0.4"/>
    <row r="536" ht="15.75" customHeight="1" x14ac:dyDescent="0.4"/>
    <row r="537" ht="15.75" customHeight="1" x14ac:dyDescent="0.4"/>
    <row r="538" ht="15.75" customHeight="1" x14ac:dyDescent="0.4"/>
    <row r="539" ht="15.75" customHeight="1" x14ac:dyDescent="0.4"/>
    <row r="540" ht="15.75" customHeight="1" x14ac:dyDescent="0.4"/>
    <row r="541" ht="15.75" customHeight="1" x14ac:dyDescent="0.4"/>
    <row r="542" ht="15.75" customHeight="1" x14ac:dyDescent="0.4"/>
    <row r="543" ht="15.75" customHeight="1" x14ac:dyDescent="0.4"/>
    <row r="544" ht="15.75" customHeight="1" x14ac:dyDescent="0.4"/>
    <row r="545" ht="15.75" customHeight="1" x14ac:dyDescent="0.4"/>
    <row r="546" ht="15.75" customHeight="1" x14ac:dyDescent="0.4"/>
    <row r="547" ht="15.75" customHeight="1" x14ac:dyDescent="0.4"/>
    <row r="548" ht="15.75" customHeight="1" x14ac:dyDescent="0.4"/>
    <row r="549" ht="15.75" customHeight="1" x14ac:dyDescent="0.4"/>
    <row r="550" ht="15.75" customHeight="1" x14ac:dyDescent="0.4"/>
    <row r="551" ht="15.75" customHeight="1" x14ac:dyDescent="0.4"/>
    <row r="552" ht="15.75" customHeight="1" x14ac:dyDescent="0.4"/>
    <row r="553" ht="15.75" customHeight="1" x14ac:dyDescent="0.4"/>
    <row r="554" ht="15.75" customHeight="1" x14ac:dyDescent="0.4"/>
    <row r="555" ht="15.75" customHeight="1" x14ac:dyDescent="0.4"/>
    <row r="556" ht="15.75" customHeight="1" x14ac:dyDescent="0.4"/>
    <row r="557" ht="15.75" customHeight="1" x14ac:dyDescent="0.4"/>
    <row r="558" ht="15.75" customHeight="1" x14ac:dyDescent="0.4"/>
    <row r="559" ht="15.75" customHeight="1" x14ac:dyDescent="0.4"/>
    <row r="560" ht="15.75" customHeight="1" x14ac:dyDescent="0.4"/>
    <row r="561" ht="15.75" customHeight="1" x14ac:dyDescent="0.4"/>
    <row r="562" ht="15.75" customHeight="1" x14ac:dyDescent="0.4"/>
    <row r="563" ht="15.75" customHeight="1" x14ac:dyDescent="0.4"/>
    <row r="564" ht="15.75" customHeight="1" x14ac:dyDescent="0.4"/>
    <row r="565" ht="15.75" customHeight="1" x14ac:dyDescent="0.4"/>
    <row r="566" ht="15.75" customHeight="1" x14ac:dyDescent="0.4"/>
    <row r="567" ht="15.75" customHeight="1" x14ac:dyDescent="0.4"/>
    <row r="568" ht="15.75" customHeight="1" x14ac:dyDescent="0.4"/>
    <row r="569" ht="15.75" customHeight="1" x14ac:dyDescent="0.4"/>
    <row r="570" ht="15.75" customHeight="1" x14ac:dyDescent="0.4"/>
    <row r="571" ht="15.75" customHeight="1" x14ac:dyDescent="0.4"/>
    <row r="572" ht="15.75" customHeight="1" x14ac:dyDescent="0.4"/>
    <row r="573" ht="15.75" customHeight="1" x14ac:dyDescent="0.4"/>
    <row r="574" ht="15.75" customHeight="1" x14ac:dyDescent="0.4"/>
    <row r="575" ht="15.75" customHeight="1" x14ac:dyDescent="0.4"/>
    <row r="576" ht="15.75" customHeight="1" x14ac:dyDescent="0.4"/>
    <row r="577" ht="15.75" customHeight="1" x14ac:dyDescent="0.4"/>
    <row r="578" ht="15.75" customHeight="1" x14ac:dyDescent="0.4"/>
    <row r="579" ht="15.75" customHeight="1" x14ac:dyDescent="0.4"/>
    <row r="580" ht="15.75" customHeight="1" x14ac:dyDescent="0.4"/>
    <row r="581" ht="15.75" customHeight="1" x14ac:dyDescent="0.4"/>
    <row r="582" ht="15.75" customHeight="1" x14ac:dyDescent="0.4"/>
    <row r="583" ht="15.75" customHeight="1" x14ac:dyDescent="0.4"/>
    <row r="584" ht="15.75" customHeight="1" x14ac:dyDescent="0.4"/>
    <row r="585" ht="15.75" customHeight="1" x14ac:dyDescent="0.4"/>
    <row r="586" ht="15.75" customHeight="1" x14ac:dyDescent="0.4"/>
    <row r="587" ht="15.75" customHeight="1" x14ac:dyDescent="0.4"/>
    <row r="588" ht="15.75" customHeight="1" x14ac:dyDescent="0.4"/>
    <row r="589" ht="15.75" customHeight="1" x14ac:dyDescent="0.4"/>
    <row r="590" ht="15.75" customHeight="1" x14ac:dyDescent="0.4"/>
    <row r="591" ht="15.75" customHeight="1" x14ac:dyDescent="0.4"/>
    <row r="592" ht="15.75" customHeight="1" x14ac:dyDescent="0.4"/>
    <row r="593" ht="15.75" customHeight="1" x14ac:dyDescent="0.4"/>
    <row r="594" ht="15.75" customHeight="1" x14ac:dyDescent="0.4"/>
    <row r="595" ht="15.75" customHeight="1" x14ac:dyDescent="0.4"/>
    <row r="596" ht="15.75" customHeight="1" x14ac:dyDescent="0.4"/>
    <row r="597" ht="15.75" customHeight="1" x14ac:dyDescent="0.4"/>
    <row r="598" ht="15.75" customHeight="1" x14ac:dyDescent="0.4"/>
    <row r="599" ht="15.75" customHeight="1" x14ac:dyDescent="0.4"/>
    <row r="600" ht="15.75" customHeight="1" x14ac:dyDescent="0.4"/>
    <row r="601" ht="15.75" customHeight="1" x14ac:dyDescent="0.4"/>
    <row r="602" ht="15.75" customHeight="1" x14ac:dyDescent="0.4"/>
    <row r="603" ht="15.75" customHeight="1" x14ac:dyDescent="0.4"/>
    <row r="604" ht="15.75" customHeight="1" x14ac:dyDescent="0.4"/>
    <row r="605" ht="15.75" customHeight="1" x14ac:dyDescent="0.4"/>
    <row r="606" ht="15.75" customHeight="1" x14ac:dyDescent="0.4"/>
    <row r="607" ht="15.75" customHeight="1" x14ac:dyDescent="0.4"/>
    <row r="608" ht="15.75" customHeight="1" x14ac:dyDescent="0.4"/>
    <row r="609" ht="15.75" customHeight="1" x14ac:dyDescent="0.4"/>
    <row r="610" ht="15.75" customHeight="1" x14ac:dyDescent="0.4"/>
    <row r="611" ht="15.75" customHeight="1" x14ac:dyDescent="0.4"/>
    <row r="612" ht="15.75" customHeight="1" x14ac:dyDescent="0.4"/>
    <row r="613" ht="15.75" customHeight="1" x14ac:dyDescent="0.4"/>
    <row r="614" ht="15.75" customHeight="1" x14ac:dyDescent="0.4"/>
    <row r="615" ht="15.75" customHeight="1" x14ac:dyDescent="0.4"/>
    <row r="616" ht="15.75" customHeight="1" x14ac:dyDescent="0.4"/>
    <row r="617" ht="15.75" customHeight="1" x14ac:dyDescent="0.4"/>
    <row r="618" ht="15.75" customHeight="1" x14ac:dyDescent="0.4"/>
    <row r="619" ht="15.75" customHeight="1" x14ac:dyDescent="0.4"/>
    <row r="620" ht="15.75" customHeight="1" x14ac:dyDescent="0.4"/>
    <row r="621" ht="15.75" customHeight="1" x14ac:dyDescent="0.4"/>
    <row r="622" ht="15.75" customHeight="1" x14ac:dyDescent="0.4"/>
    <row r="623" ht="15.75" customHeight="1" x14ac:dyDescent="0.4"/>
    <row r="624" ht="15.75" customHeight="1" x14ac:dyDescent="0.4"/>
    <row r="625" ht="15.75" customHeight="1" x14ac:dyDescent="0.4"/>
    <row r="626" ht="15.75" customHeight="1" x14ac:dyDescent="0.4"/>
    <row r="627" ht="15.75" customHeight="1" x14ac:dyDescent="0.4"/>
    <row r="628" ht="15.75" customHeight="1" x14ac:dyDescent="0.4"/>
    <row r="629" ht="15.75" customHeight="1" x14ac:dyDescent="0.4"/>
    <row r="630" ht="15.75" customHeight="1" x14ac:dyDescent="0.4"/>
    <row r="631" ht="15.75" customHeight="1" x14ac:dyDescent="0.4"/>
    <row r="632" ht="15.75" customHeight="1" x14ac:dyDescent="0.4"/>
    <row r="633" ht="15.75" customHeight="1" x14ac:dyDescent="0.4"/>
    <row r="634" ht="15.75" customHeight="1" x14ac:dyDescent="0.4"/>
    <row r="635" ht="15.75" customHeight="1" x14ac:dyDescent="0.4"/>
    <row r="636" ht="15.75" customHeight="1" x14ac:dyDescent="0.4"/>
    <row r="637" ht="15.75" customHeight="1" x14ac:dyDescent="0.4"/>
    <row r="638" ht="15.75" customHeight="1" x14ac:dyDescent="0.4"/>
    <row r="639" ht="15.75" customHeight="1" x14ac:dyDescent="0.4"/>
    <row r="640" ht="15.75" customHeight="1" x14ac:dyDescent="0.4"/>
    <row r="641" ht="15.75" customHeight="1" x14ac:dyDescent="0.4"/>
    <row r="642" ht="15.75" customHeight="1" x14ac:dyDescent="0.4"/>
    <row r="643" ht="15.75" customHeight="1" x14ac:dyDescent="0.4"/>
    <row r="644" ht="15.75" customHeight="1" x14ac:dyDescent="0.4"/>
    <row r="645" ht="15.75" customHeight="1" x14ac:dyDescent="0.4"/>
    <row r="646" ht="15.75" customHeight="1" x14ac:dyDescent="0.4"/>
    <row r="647" ht="15.75" customHeight="1" x14ac:dyDescent="0.4"/>
    <row r="648" ht="15.75" customHeight="1" x14ac:dyDescent="0.4"/>
    <row r="649" ht="15.75" customHeight="1" x14ac:dyDescent="0.4"/>
    <row r="650" ht="15.75" customHeight="1" x14ac:dyDescent="0.4"/>
    <row r="651" ht="15.75" customHeight="1" x14ac:dyDescent="0.4"/>
    <row r="652" ht="15.75" customHeight="1" x14ac:dyDescent="0.4"/>
    <row r="653" ht="15.75" customHeight="1" x14ac:dyDescent="0.4"/>
    <row r="654" ht="15.75" customHeight="1" x14ac:dyDescent="0.4"/>
    <row r="655" ht="15.75" customHeight="1" x14ac:dyDescent="0.4"/>
    <row r="656" ht="15.75" customHeight="1" x14ac:dyDescent="0.4"/>
    <row r="657" ht="15.75" customHeight="1" x14ac:dyDescent="0.4"/>
    <row r="658" ht="15.75" customHeight="1" x14ac:dyDescent="0.4"/>
    <row r="659" ht="15.75" customHeight="1" x14ac:dyDescent="0.4"/>
    <row r="660" ht="15.75" customHeight="1" x14ac:dyDescent="0.4"/>
    <row r="661" ht="15.75" customHeight="1" x14ac:dyDescent="0.4"/>
    <row r="662" ht="15.75" customHeight="1" x14ac:dyDescent="0.4"/>
    <row r="663" ht="15.75" customHeight="1" x14ac:dyDescent="0.4"/>
    <row r="664" ht="15.75" customHeight="1" x14ac:dyDescent="0.4"/>
    <row r="665" ht="15.75" customHeight="1" x14ac:dyDescent="0.4"/>
    <row r="666" ht="15.75" customHeight="1" x14ac:dyDescent="0.4"/>
    <row r="667" ht="15.75" customHeight="1" x14ac:dyDescent="0.4"/>
    <row r="668" ht="15.75" customHeight="1" x14ac:dyDescent="0.4"/>
    <row r="669" ht="15.75" customHeight="1" x14ac:dyDescent="0.4"/>
    <row r="670" ht="15.75" customHeight="1" x14ac:dyDescent="0.4"/>
    <row r="671" ht="15.75" customHeight="1" x14ac:dyDescent="0.4"/>
    <row r="672" ht="15.75" customHeight="1" x14ac:dyDescent="0.4"/>
    <row r="673" ht="15.75" customHeight="1" x14ac:dyDescent="0.4"/>
    <row r="674" ht="15.75" customHeight="1" x14ac:dyDescent="0.4"/>
    <row r="675" ht="15.75" customHeight="1" x14ac:dyDescent="0.4"/>
    <row r="676" ht="15.75" customHeight="1" x14ac:dyDescent="0.4"/>
    <row r="677" ht="15.75" customHeight="1" x14ac:dyDescent="0.4"/>
    <row r="678" ht="15.75" customHeight="1" x14ac:dyDescent="0.4"/>
    <row r="679" ht="15.75" customHeight="1" x14ac:dyDescent="0.4"/>
    <row r="680" ht="15.75" customHeight="1" x14ac:dyDescent="0.4"/>
    <row r="681" ht="15.75" customHeight="1" x14ac:dyDescent="0.4"/>
    <row r="682" ht="15.75" customHeight="1" x14ac:dyDescent="0.4"/>
    <row r="683" ht="15.75" customHeight="1" x14ac:dyDescent="0.4"/>
    <row r="684" ht="15.75" customHeight="1" x14ac:dyDescent="0.4"/>
    <row r="685" ht="15.75" customHeight="1" x14ac:dyDescent="0.4"/>
    <row r="686" ht="15.75" customHeight="1" x14ac:dyDescent="0.4"/>
    <row r="687" ht="15.75" customHeight="1" x14ac:dyDescent="0.4"/>
    <row r="688" ht="15.75" customHeight="1" x14ac:dyDescent="0.4"/>
    <row r="689" ht="15.75" customHeight="1" x14ac:dyDescent="0.4"/>
    <row r="690" ht="15.75" customHeight="1" x14ac:dyDescent="0.4"/>
    <row r="691" ht="15.75" customHeight="1" x14ac:dyDescent="0.4"/>
    <row r="692" ht="15.75" customHeight="1" x14ac:dyDescent="0.4"/>
    <row r="693" ht="15.75" customHeight="1" x14ac:dyDescent="0.4"/>
    <row r="694" ht="15.75" customHeight="1" x14ac:dyDescent="0.4"/>
    <row r="695" ht="15.75" customHeight="1" x14ac:dyDescent="0.4"/>
    <row r="696" ht="15.75" customHeight="1" x14ac:dyDescent="0.4"/>
    <row r="697" ht="15.75" customHeight="1" x14ac:dyDescent="0.4"/>
    <row r="698" ht="15.75" customHeight="1" x14ac:dyDescent="0.4"/>
    <row r="699" ht="15.75" customHeight="1" x14ac:dyDescent="0.4"/>
    <row r="700" ht="15.75" customHeight="1" x14ac:dyDescent="0.4"/>
    <row r="701" ht="15.75" customHeight="1" x14ac:dyDescent="0.4"/>
    <row r="702" ht="15.75" customHeight="1" x14ac:dyDescent="0.4"/>
    <row r="703" ht="15.75" customHeight="1" x14ac:dyDescent="0.4"/>
    <row r="704" ht="15.75" customHeight="1" x14ac:dyDescent="0.4"/>
    <row r="705" ht="15.75" customHeight="1" x14ac:dyDescent="0.4"/>
    <row r="706" ht="15.75" customHeight="1" x14ac:dyDescent="0.4"/>
    <row r="707" ht="15.75" customHeight="1" x14ac:dyDescent="0.4"/>
    <row r="708" ht="15.75" customHeight="1" x14ac:dyDescent="0.4"/>
    <row r="709" ht="15.75" customHeight="1" x14ac:dyDescent="0.4"/>
    <row r="710" ht="15.75" customHeight="1" x14ac:dyDescent="0.4"/>
    <row r="711" ht="15.75" customHeight="1" x14ac:dyDescent="0.4"/>
    <row r="712" ht="15.75" customHeight="1" x14ac:dyDescent="0.4"/>
    <row r="713" ht="15.75" customHeight="1" x14ac:dyDescent="0.4"/>
    <row r="714" ht="15.75" customHeight="1" x14ac:dyDescent="0.4"/>
    <row r="715" ht="15.75" customHeight="1" x14ac:dyDescent="0.4"/>
    <row r="716" ht="15.75" customHeight="1" x14ac:dyDescent="0.4"/>
    <row r="717" ht="15.75" customHeight="1" x14ac:dyDescent="0.4"/>
    <row r="718" ht="15.75" customHeight="1" x14ac:dyDescent="0.4"/>
    <row r="719" ht="15.75" customHeight="1" x14ac:dyDescent="0.4"/>
    <row r="720" ht="15.75" customHeight="1" x14ac:dyDescent="0.4"/>
    <row r="721" ht="15.75" customHeight="1" x14ac:dyDescent="0.4"/>
    <row r="722" ht="15.75" customHeight="1" x14ac:dyDescent="0.4"/>
    <row r="723" ht="15.75" customHeight="1" x14ac:dyDescent="0.4"/>
    <row r="724" ht="15.75" customHeight="1" x14ac:dyDescent="0.4"/>
    <row r="725" ht="15.75" customHeight="1" x14ac:dyDescent="0.4"/>
    <row r="726" ht="15.75" customHeight="1" x14ac:dyDescent="0.4"/>
    <row r="727" ht="15.75" customHeight="1" x14ac:dyDescent="0.4"/>
    <row r="728" ht="15.75" customHeight="1" x14ac:dyDescent="0.4"/>
    <row r="729" ht="15.75" customHeight="1" x14ac:dyDescent="0.4"/>
    <row r="730" ht="15.75" customHeight="1" x14ac:dyDescent="0.4"/>
    <row r="731" ht="15.75" customHeight="1" x14ac:dyDescent="0.4"/>
    <row r="732" ht="15.75" customHeight="1" x14ac:dyDescent="0.4"/>
    <row r="733" ht="15.75" customHeight="1" x14ac:dyDescent="0.4"/>
    <row r="734" ht="15.75" customHeight="1" x14ac:dyDescent="0.4"/>
    <row r="735" ht="15.75" customHeight="1" x14ac:dyDescent="0.4"/>
    <row r="736" ht="15.75" customHeight="1" x14ac:dyDescent="0.4"/>
    <row r="737" ht="15.75" customHeight="1" x14ac:dyDescent="0.4"/>
    <row r="738" ht="15.75" customHeight="1" x14ac:dyDescent="0.4"/>
    <row r="739" ht="15.75" customHeight="1" x14ac:dyDescent="0.4"/>
    <row r="740" ht="15.75" customHeight="1" x14ac:dyDescent="0.4"/>
    <row r="741" ht="15.75" customHeight="1" x14ac:dyDescent="0.4"/>
    <row r="742" ht="15.75" customHeight="1" x14ac:dyDescent="0.4"/>
    <row r="743" ht="15.75" customHeight="1" x14ac:dyDescent="0.4"/>
    <row r="744" ht="15.75" customHeight="1" x14ac:dyDescent="0.4"/>
    <row r="745" ht="15.75" customHeight="1" x14ac:dyDescent="0.4"/>
    <row r="746" ht="15.75" customHeight="1" x14ac:dyDescent="0.4"/>
    <row r="747" ht="15.75" customHeight="1" x14ac:dyDescent="0.4"/>
    <row r="748" ht="15.75" customHeight="1" x14ac:dyDescent="0.4"/>
    <row r="749" ht="15.75" customHeight="1" x14ac:dyDescent="0.4"/>
    <row r="750" ht="15.75" customHeight="1" x14ac:dyDescent="0.4"/>
    <row r="751" ht="15.75" customHeight="1" x14ac:dyDescent="0.4"/>
    <row r="752" ht="15.75" customHeight="1" x14ac:dyDescent="0.4"/>
    <row r="753" ht="15.75" customHeight="1" x14ac:dyDescent="0.4"/>
    <row r="754" ht="15.75" customHeight="1" x14ac:dyDescent="0.4"/>
    <row r="755" ht="15.75" customHeight="1" x14ac:dyDescent="0.4"/>
    <row r="756" ht="15.75" customHeight="1" x14ac:dyDescent="0.4"/>
    <row r="757" ht="15.75" customHeight="1" x14ac:dyDescent="0.4"/>
    <row r="758" ht="15.75" customHeight="1" x14ac:dyDescent="0.4"/>
    <row r="759" ht="15.75" customHeight="1" x14ac:dyDescent="0.4"/>
    <row r="760" ht="15.75" customHeight="1" x14ac:dyDescent="0.4"/>
    <row r="761" ht="15.75" customHeight="1" x14ac:dyDescent="0.4"/>
    <row r="762" ht="15.75" customHeight="1" x14ac:dyDescent="0.4"/>
    <row r="763" ht="15.75" customHeight="1" x14ac:dyDescent="0.4"/>
    <row r="764" ht="15.75" customHeight="1" x14ac:dyDescent="0.4"/>
    <row r="765" ht="15.75" customHeight="1" x14ac:dyDescent="0.4"/>
    <row r="766" ht="15.75" customHeight="1" x14ac:dyDescent="0.4"/>
    <row r="767" ht="15.75" customHeight="1" x14ac:dyDescent="0.4"/>
    <row r="768" ht="15.75" customHeight="1" x14ac:dyDescent="0.4"/>
    <row r="769" ht="15.75" customHeight="1" x14ac:dyDescent="0.4"/>
    <row r="770" ht="15.75" customHeight="1" x14ac:dyDescent="0.4"/>
    <row r="771" ht="15.75" customHeight="1" x14ac:dyDescent="0.4"/>
    <row r="772" ht="15.75" customHeight="1" x14ac:dyDescent="0.4"/>
    <row r="773" ht="15.75" customHeight="1" x14ac:dyDescent="0.4"/>
    <row r="774" ht="15.75" customHeight="1" x14ac:dyDescent="0.4"/>
    <row r="775" ht="15.75" customHeight="1" x14ac:dyDescent="0.4"/>
    <row r="776" ht="15.75" customHeight="1" x14ac:dyDescent="0.4"/>
    <row r="777" ht="15.75" customHeight="1" x14ac:dyDescent="0.4"/>
    <row r="778" ht="15.75" customHeight="1" x14ac:dyDescent="0.4"/>
    <row r="779" ht="15.75" customHeight="1" x14ac:dyDescent="0.4"/>
    <row r="780" ht="15.75" customHeight="1" x14ac:dyDescent="0.4"/>
    <row r="781" ht="15.75" customHeight="1" x14ac:dyDescent="0.4"/>
    <row r="782" ht="15.75" customHeight="1" x14ac:dyDescent="0.4"/>
    <row r="783" ht="15.75" customHeight="1" x14ac:dyDescent="0.4"/>
    <row r="784" ht="15.75" customHeight="1" x14ac:dyDescent="0.4"/>
    <row r="785" ht="15.75" customHeight="1" x14ac:dyDescent="0.4"/>
    <row r="786" ht="15.75" customHeight="1" x14ac:dyDescent="0.4"/>
    <row r="787" ht="15.75" customHeight="1" x14ac:dyDescent="0.4"/>
    <row r="788" ht="15.75" customHeight="1" x14ac:dyDescent="0.4"/>
    <row r="789" ht="15.75" customHeight="1" x14ac:dyDescent="0.4"/>
    <row r="790" ht="15.75" customHeight="1" x14ac:dyDescent="0.4"/>
    <row r="791" ht="15.75" customHeight="1" x14ac:dyDescent="0.4"/>
    <row r="792" ht="15.75" customHeight="1" x14ac:dyDescent="0.4"/>
    <row r="793" ht="15.75" customHeight="1" x14ac:dyDescent="0.4"/>
    <row r="794" ht="15.75" customHeight="1" x14ac:dyDescent="0.4"/>
    <row r="795" ht="15.75" customHeight="1" x14ac:dyDescent="0.4"/>
    <row r="796" ht="15.75" customHeight="1" x14ac:dyDescent="0.4"/>
    <row r="797" ht="15.75" customHeight="1" x14ac:dyDescent="0.4"/>
    <row r="798" ht="15.75" customHeight="1" x14ac:dyDescent="0.4"/>
    <row r="799" ht="15.75" customHeight="1" x14ac:dyDescent="0.4"/>
    <row r="800" ht="15.75" customHeight="1" x14ac:dyDescent="0.4"/>
    <row r="801" ht="15.75" customHeight="1" x14ac:dyDescent="0.4"/>
    <row r="802" ht="15.75" customHeight="1" x14ac:dyDescent="0.4"/>
    <row r="803" ht="15.75" customHeight="1" x14ac:dyDescent="0.4"/>
    <row r="804" ht="15.75" customHeight="1" x14ac:dyDescent="0.4"/>
    <row r="805" ht="15.75" customHeight="1" x14ac:dyDescent="0.4"/>
    <row r="806" ht="15.75" customHeight="1" x14ac:dyDescent="0.4"/>
    <row r="807" ht="15.75" customHeight="1" x14ac:dyDescent="0.4"/>
    <row r="808" ht="15.75" customHeight="1" x14ac:dyDescent="0.4"/>
    <row r="809" ht="15.75" customHeight="1" x14ac:dyDescent="0.4"/>
    <row r="810" ht="15.75" customHeight="1" x14ac:dyDescent="0.4"/>
    <row r="811" ht="15.75" customHeight="1" x14ac:dyDescent="0.4"/>
    <row r="812" ht="15.75" customHeight="1" x14ac:dyDescent="0.4"/>
    <row r="813" ht="15.75" customHeight="1" x14ac:dyDescent="0.4"/>
    <row r="814" ht="15.75" customHeight="1" x14ac:dyDescent="0.4"/>
    <row r="815" ht="15.75" customHeight="1" x14ac:dyDescent="0.4"/>
    <row r="816" ht="15.75" customHeight="1" x14ac:dyDescent="0.4"/>
    <row r="817" ht="15.75" customHeight="1" x14ac:dyDescent="0.4"/>
    <row r="818" ht="15.75" customHeight="1" x14ac:dyDescent="0.4"/>
    <row r="819" ht="15.75" customHeight="1" x14ac:dyDescent="0.4"/>
    <row r="820" ht="15.75" customHeight="1" x14ac:dyDescent="0.4"/>
    <row r="821" ht="15.75" customHeight="1" x14ac:dyDescent="0.4"/>
    <row r="822" ht="15.75" customHeight="1" x14ac:dyDescent="0.4"/>
    <row r="823" ht="15.75" customHeight="1" x14ac:dyDescent="0.4"/>
    <row r="824" ht="15.75" customHeight="1" x14ac:dyDescent="0.4"/>
    <row r="825" ht="15.75" customHeight="1" x14ac:dyDescent="0.4"/>
    <row r="826" ht="15.75" customHeight="1" x14ac:dyDescent="0.4"/>
    <row r="827" ht="15.75" customHeight="1" x14ac:dyDescent="0.4"/>
    <row r="828" ht="15.75" customHeight="1" x14ac:dyDescent="0.4"/>
    <row r="829" ht="15.75" customHeight="1" x14ac:dyDescent="0.4"/>
    <row r="830" ht="15.75" customHeight="1" x14ac:dyDescent="0.4"/>
    <row r="831" ht="15.75" customHeight="1" x14ac:dyDescent="0.4"/>
    <row r="832" ht="15.75" customHeight="1" x14ac:dyDescent="0.4"/>
    <row r="833" ht="15.75" customHeight="1" x14ac:dyDescent="0.4"/>
    <row r="834" ht="15.75" customHeight="1" x14ac:dyDescent="0.4"/>
    <row r="835" ht="15.75" customHeight="1" x14ac:dyDescent="0.4"/>
    <row r="836" ht="15.75" customHeight="1" x14ac:dyDescent="0.4"/>
    <row r="837" ht="15.75" customHeight="1" x14ac:dyDescent="0.4"/>
    <row r="838" ht="15.75" customHeight="1" x14ac:dyDescent="0.4"/>
    <row r="839" ht="15.75" customHeight="1" x14ac:dyDescent="0.4"/>
    <row r="840" ht="15.75" customHeight="1" x14ac:dyDescent="0.4"/>
    <row r="841" ht="15.75" customHeight="1" x14ac:dyDescent="0.4"/>
    <row r="842" ht="15.75" customHeight="1" x14ac:dyDescent="0.4"/>
    <row r="843" ht="15.75" customHeight="1" x14ac:dyDescent="0.4"/>
    <row r="844" ht="15.75" customHeight="1" x14ac:dyDescent="0.4"/>
    <row r="845" ht="15.75" customHeight="1" x14ac:dyDescent="0.4"/>
    <row r="846" ht="15.75" customHeight="1" x14ac:dyDescent="0.4"/>
    <row r="847" ht="15.75" customHeight="1" x14ac:dyDescent="0.4"/>
    <row r="848" ht="15.75" customHeight="1" x14ac:dyDescent="0.4"/>
    <row r="849" ht="15.75" customHeight="1" x14ac:dyDescent="0.4"/>
    <row r="850" ht="15.75" customHeight="1" x14ac:dyDescent="0.4"/>
    <row r="851" ht="15.75" customHeight="1" x14ac:dyDescent="0.4"/>
    <row r="852" ht="15.75" customHeight="1" x14ac:dyDescent="0.4"/>
    <row r="853" ht="15.75" customHeight="1" x14ac:dyDescent="0.4"/>
    <row r="854" ht="15.75" customHeight="1" x14ac:dyDescent="0.4"/>
    <row r="855" ht="15.75" customHeight="1" x14ac:dyDescent="0.4"/>
    <row r="856" ht="15.75" customHeight="1" x14ac:dyDescent="0.4"/>
    <row r="857" ht="15.75" customHeight="1" x14ac:dyDescent="0.4"/>
    <row r="858" ht="15.75" customHeight="1" x14ac:dyDescent="0.4"/>
    <row r="859" ht="15.75" customHeight="1" x14ac:dyDescent="0.4"/>
    <row r="860" ht="15.75" customHeight="1" x14ac:dyDescent="0.4"/>
    <row r="861" ht="15.75" customHeight="1" x14ac:dyDescent="0.4"/>
    <row r="862" ht="15.75" customHeight="1" x14ac:dyDescent="0.4"/>
    <row r="863" ht="15.75" customHeight="1" x14ac:dyDescent="0.4"/>
    <row r="864" ht="15.75" customHeight="1" x14ac:dyDescent="0.4"/>
    <row r="865" ht="15.75" customHeight="1" x14ac:dyDescent="0.4"/>
    <row r="866" ht="15.75" customHeight="1" x14ac:dyDescent="0.4"/>
    <row r="867" ht="15.75" customHeight="1" x14ac:dyDescent="0.4"/>
    <row r="868" ht="15.75" customHeight="1" x14ac:dyDescent="0.4"/>
    <row r="869" ht="15.75" customHeight="1" x14ac:dyDescent="0.4"/>
    <row r="870" ht="15.75" customHeight="1" x14ac:dyDescent="0.4"/>
    <row r="871" ht="15.75" customHeight="1" x14ac:dyDescent="0.4"/>
    <row r="872" ht="15.75" customHeight="1" x14ac:dyDescent="0.4"/>
    <row r="873" ht="15.75" customHeight="1" x14ac:dyDescent="0.4"/>
    <row r="874" ht="15.75" customHeight="1" x14ac:dyDescent="0.4"/>
    <row r="875" ht="15.75" customHeight="1" x14ac:dyDescent="0.4"/>
    <row r="876" ht="15.75" customHeight="1" x14ac:dyDescent="0.4"/>
    <row r="877" ht="15.75" customHeight="1" x14ac:dyDescent="0.4"/>
    <row r="878" ht="15.75" customHeight="1" x14ac:dyDescent="0.4"/>
    <row r="879" ht="15.75" customHeight="1" x14ac:dyDescent="0.4"/>
    <row r="880" ht="15.75" customHeight="1" x14ac:dyDescent="0.4"/>
    <row r="881" ht="15.75" customHeight="1" x14ac:dyDescent="0.4"/>
    <row r="882" ht="15.75" customHeight="1" x14ac:dyDescent="0.4"/>
    <row r="883" ht="15.75" customHeight="1" x14ac:dyDescent="0.4"/>
    <row r="884" ht="15.75" customHeight="1" x14ac:dyDescent="0.4"/>
    <row r="885" ht="15.75" customHeight="1" x14ac:dyDescent="0.4"/>
    <row r="886" ht="15.75" customHeight="1" x14ac:dyDescent="0.4"/>
    <row r="887" ht="15.75" customHeight="1" x14ac:dyDescent="0.4"/>
    <row r="888" ht="15.75" customHeight="1" x14ac:dyDescent="0.4"/>
    <row r="889" ht="15.75" customHeight="1" x14ac:dyDescent="0.4"/>
    <row r="890" ht="15.75" customHeight="1" x14ac:dyDescent="0.4"/>
    <row r="891" ht="15.75" customHeight="1" x14ac:dyDescent="0.4"/>
    <row r="892" ht="15.75" customHeight="1" x14ac:dyDescent="0.4"/>
    <row r="893" ht="15.75" customHeight="1" x14ac:dyDescent="0.4"/>
    <row r="894" ht="15.75" customHeight="1" x14ac:dyDescent="0.4"/>
    <row r="895" ht="15.75" customHeight="1" x14ac:dyDescent="0.4"/>
    <row r="896" ht="15.75" customHeight="1" x14ac:dyDescent="0.4"/>
    <row r="897" ht="15.75" customHeight="1" x14ac:dyDescent="0.4"/>
    <row r="898" ht="15.75" customHeight="1" x14ac:dyDescent="0.4"/>
    <row r="899" ht="15.75" customHeight="1" x14ac:dyDescent="0.4"/>
    <row r="900" ht="15.75" customHeight="1" x14ac:dyDescent="0.4"/>
    <row r="901" ht="15.75" customHeight="1" x14ac:dyDescent="0.4"/>
    <row r="902" ht="15.75" customHeight="1" x14ac:dyDescent="0.4"/>
    <row r="903" ht="15.75" customHeight="1" x14ac:dyDescent="0.4"/>
    <row r="904" ht="15.75" customHeight="1" x14ac:dyDescent="0.4"/>
    <row r="905" ht="15.75" customHeight="1" x14ac:dyDescent="0.4"/>
    <row r="906" ht="15.75" customHeight="1" x14ac:dyDescent="0.4"/>
    <row r="907" ht="15.75" customHeight="1" x14ac:dyDescent="0.4"/>
    <row r="908" ht="15.75" customHeight="1" x14ac:dyDescent="0.4"/>
    <row r="909" ht="15.75" customHeight="1" x14ac:dyDescent="0.4"/>
    <row r="910" ht="15.75" customHeight="1" x14ac:dyDescent="0.4"/>
    <row r="911" ht="15.75" customHeight="1" x14ac:dyDescent="0.4"/>
    <row r="912" ht="15.75" customHeight="1" x14ac:dyDescent="0.4"/>
    <row r="913" ht="15.75" customHeight="1" x14ac:dyDescent="0.4"/>
    <row r="914" ht="15.75" customHeight="1" x14ac:dyDescent="0.4"/>
    <row r="915" ht="15.75" customHeight="1" x14ac:dyDescent="0.4"/>
    <row r="916" ht="15.75" customHeight="1" x14ac:dyDescent="0.4"/>
    <row r="917" ht="15.75" customHeight="1" x14ac:dyDescent="0.4"/>
    <row r="918" ht="15.75" customHeight="1" x14ac:dyDescent="0.4"/>
    <row r="919" ht="15.75" customHeight="1" x14ac:dyDescent="0.4"/>
    <row r="920" ht="15.75" customHeight="1" x14ac:dyDescent="0.4"/>
    <row r="921" ht="15.75" customHeight="1" x14ac:dyDescent="0.4"/>
    <row r="922" ht="15.75" customHeight="1" x14ac:dyDescent="0.4"/>
    <row r="923" ht="15.75" customHeight="1" x14ac:dyDescent="0.4"/>
    <row r="924" ht="15.75" customHeight="1" x14ac:dyDescent="0.4"/>
    <row r="925" ht="15.75" customHeight="1" x14ac:dyDescent="0.4"/>
    <row r="926" ht="15.75" customHeight="1" x14ac:dyDescent="0.4"/>
    <row r="927" ht="15.75" customHeight="1" x14ac:dyDescent="0.4"/>
    <row r="928" ht="15.75" customHeight="1" x14ac:dyDescent="0.4"/>
    <row r="929" ht="15.75" customHeight="1" x14ac:dyDescent="0.4"/>
    <row r="930" ht="15.75" customHeight="1" x14ac:dyDescent="0.4"/>
    <row r="931" ht="15.75" customHeight="1" x14ac:dyDescent="0.4"/>
    <row r="932" ht="15.75" customHeight="1" x14ac:dyDescent="0.4"/>
    <row r="933" ht="15.75" customHeight="1" x14ac:dyDescent="0.4"/>
    <row r="934" ht="15.75" customHeight="1" x14ac:dyDescent="0.4"/>
    <row r="935" ht="15.75" customHeight="1" x14ac:dyDescent="0.4"/>
    <row r="936" ht="15.75" customHeight="1" x14ac:dyDescent="0.4"/>
    <row r="937" ht="15.75" customHeight="1" x14ac:dyDescent="0.4"/>
    <row r="938" ht="15.75" customHeight="1" x14ac:dyDescent="0.4"/>
    <row r="939" ht="15.75" customHeight="1" x14ac:dyDescent="0.4"/>
    <row r="940" ht="15.75" customHeight="1" x14ac:dyDescent="0.4"/>
    <row r="941" ht="15.75" customHeight="1" x14ac:dyDescent="0.4"/>
    <row r="942" ht="15.75" customHeight="1" x14ac:dyDescent="0.4"/>
    <row r="943" ht="15.75" customHeight="1" x14ac:dyDescent="0.4"/>
    <row r="944" ht="15.75" customHeight="1" x14ac:dyDescent="0.4"/>
    <row r="945" ht="15.75" customHeight="1" x14ac:dyDescent="0.4"/>
    <row r="946" ht="15.75" customHeight="1" x14ac:dyDescent="0.4"/>
    <row r="947" ht="15.75" customHeight="1" x14ac:dyDescent="0.4"/>
    <row r="948" ht="15.75" customHeight="1" x14ac:dyDescent="0.4"/>
    <row r="949" ht="15.75" customHeight="1" x14ac:dyDescent="0.4"/>
    <row r="950" ht="15.75" customHeight="1" x14ac:dyDescent="0.4"/>
    <row r="951" ht="15.75" customHeight="1" x14ac:dyDescent="0.4"/>
    <row r="952" ht="15.75" customHeight="1" x14ac:dyDescent="0.4"/>
    <row r="953" ht="15.75" customHeight="1" x14ac:dyDescent="0.4"/>
    <row r="954" ht="15.75" customHeight="1" x14ac:dyDescent="0.4"/>
    <row r="955" ht="15.75" customHeight="1" x14ac:dyDescent="0.4"/>
    <row r="956" ht="15.75" customHeight="1" x14ac:dyDescent="0.4"/>
    <row r="957" ht="15.75" customHeight="1" x14ac:dyDescent="0.4"/>
    <row r="958" ht="15.75" customHeight="1" x14ac:dyDescent="0.4"/>
    <row r="959" ht="15.75" customHeight="1" x14ac:dyDescent="0.4"/>
    <row r="960" ht="15.75" customHeight="1" x14ac:dyDescent="0.4"/>
    <row r="961" ht="15.75" customHeight="1" x14ac:dyDescent="0.4"/>
    <row r="962" ht="15.75" customHeight="1" x14ac:dyDescent="0.4"/>
    <row r="963" ht="15.75" customHeight="1" x14ac:dyDescent="0.4"/>
    <row r="964" ht="15.75" customHeight="1" x14ac:dyDescent="0.4"/>
    <row r="965" ht="15.75" customHeight="1" x14ac:dyDescent="0.4"/>
    <row r="966" ht="15.75" customHeight="1" x14ac:dyDescent="0.4"/>
    <row r="967" ht="15.75" customHeight="1" x14ac:dyDescent="0.4"/>
    <row r="968" ht="15.75" customHeight="1" x14ac:dyDescent="0.4"/>
    <row r="969" ht="15.75" customHeight="1" x14ac:dyDescent="0.4"/>
    <row r="970" ht="15.75" customHeight="1" x14ac:dyDescent="0.4"/>
    <row r="971" ht="15.75" customHeight="1" x14ac:dyDescent="0.4"/>
    <row r="972" ht="15.75" customHeight="1" x14ac:dyDescent="0.4"/>
    <row r="973" ht="15.75" customHeight="1" x14ac:dyDescent="0.4"/>
    <row r="974" ht="15.75" customHeight="1" x14ac:dyDescent="0.4"/>
    <row r="975" ht="15.75" customHeight="1" x14ac:dyDescent="0.4"/>
    <row r="976" ht="15.75" customHeight="1" x14ac:dyDescent="0.4"/>
    <row r="977" ht="15.75" customHeight="1" x14ac:dyDescent="0.4"/>
    <row r="978" ht="15.75" customHeight="1" x14ac:dyDescent="0.4"/>
    <row r="979" ht="15.75" customHeight="1" x14ac:dyDescent="0.4"/>
    <row r="980" ht="15.75" customHeight="1" x14ac:dyDescent="0.4"/>
    <row r="981" ht="15.75" customHeight="1" x14ac:dyDescent="0.4"/>
    <row r="982" ht="15.75" customHeight="1" x14ac:dyDescent="0.4"/>
    <row r="983" ht="15.75" customHeight="1" x14ac:dyDescent="0.4"/>
    <row r="984" ht="15.75" customHeight="1" x14ac:dyDescent="0.4"/>
    <row r="985" ht="15.75" customHeight="1" x14ac:dyDescent="0.4"/>
    <row r="986" ht="15.75" customHeight="1" x14ac:dyDescent="0.4"/>
    <row r="987" ht="15.75" customHeight="1" x14ac:dyDescent="0.4"/>
    <row r="988" ht="15.75" customHeight="1" x14ac:dyDescent="0.4"/>
    <row r="989" ht="15.75" customHeight="1" x14ac:dyDescent="0.4"/>
    <row r="990" ht="15.75" customHeight="1" x14ac:dyDescent="0.4"/>
    <row r="991" ht="15.75" customHeight="1" x14ac:dyDescent="0.4"/>
    <row r="992" ht="15.75" customHeight="1" x14ac:dyDescent="0.4"/>
    <row r="993" ht="15.75" customHeight="1" x14ac:dyDescent="0.4"/>
    <row r="994" ht="15.75" customHeight="1" x14ac:dyDescent="0.4"/>
    <row r="995" ht="15.75" customHeight="1" x14ac:dyDescent="0.4"/>
    <row r="996" ht="15.75" customHeight="1" x14ac:dyDescent="0.4"/>
    <row r="997" ht="15.75" customHeight="1" x14ac:dyDescent="0.4"/>
    <row r="998" ht="15.75" customHeight="1" x14ac:dyDescent="0.4"/>
    <row r="999" ht="15.75" customHeight="1" x14ac:dyDescent="0.4"/>
    <row r="1000" ht="15.75" customHeight="1" x14ac:dyDescent="0.4"/>
  </sheetData>
  <mergeCells count="7">
    <mergeCell ref="A2:D2"/>
    <mergeCell ref="B8:C8"/>
    <mergeCell ref="B6:C6"/>
    <mergeCell ref="A11:F11"/>
    <mergeCell ref="B7:C7"/>
    <mergeCell ref="B5:C5"/>
    <mergeCell ref="A4:D4"/>
  </mergeCells>
  <pageMargins left="0.7" right="0.7" top="0.75" bottom="0.75"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3"/>
  <dimension ref="A1:D118"/>
  <sheetViews>
    <sheetView tabSelected="1" topLeftCell="A106" zoomScale="55" zoomScaleNormal="100" workbookViewId="0">
      <selection activeCell="C7" sqref="C7:D7"/>
    </sheetView>
  </sheetViews>
  <sheetFormatPr defaultColWidth="11" defaultRowHeight="16" x14ac:dyDescent="0.4"/>
  <cols>
    <col min="1" max="1" width="8.58203125" customWidth="1"/>
    <col min="2" max="2" width="113.58203125" customWidth="1"/>
    <col min="3" max="3" width="15.58203125" customWidth="1"/>
    <col min="4" max="4" width="104.5" customWidth="1"/>
  </cols>
  <sheetData>
    <row r="1" spans="1:4" x14ac:dyDescent="0.4">
      <c r="A1" s="39" t="s">
        <v>0</v>
      </c>
      <c r="B1" s="22"/>
      <c r="C1" s="22"/>
      <c r="D1" s="31" t="e">
        <v>#VALUE!</v>
      </c>
    </row>
    <row r="2" spans="1:4" x14ac:dyDescent="0.4">
      <c r="A2" s="22"/>
      <c r="B2" s="22"/>
      <c r="C2" s="22"/>
      <c r="D2" s="22"/>
    </row>
    <row r="3" spans="1:4" x14ac:dyDescent="0.4">
      <c r="A3" s="32"/>
      <c r="B3" s="32"/>
      <c r="C3" s="32"/>
      <c r="D3" s="32"/>
    </row>
    <row r="4" spans="1:4" x14ac:dyDescent="0.4">
      <c r="A4" s="36" t="s">
        <v>1</v>
      </c>
      <c r="B4" s="37"/>
      <c r="C4" s="27"/>
      <c r="D4" s="28"/>
    </row>
    <row r="5" spans="1:4" x14ac:dyDescent="0.4">
      <c r="A5" s="35" t="s">
        <v>2</v>
      </c>
      <c r="B5" s="22"/>
      <c r="C5" s="27"/>
      <c r="D5" s="28"/>
    </row>
    <row r="6" spans="1:4" ht="16.5" customHeight="1" thickBot="1" x14ac:dyDescent="0.45">
      <c r="A6" s="29" t="s">
        <v>3</v>
      </c>
      <c r="B6" s="30"/>
      <c r="C6" s="23" t="s">
        <v>4</v>
      </c>
      <c r="D6" s="24"/>
    </row>
    <row r="7" spans="1:4" ht="16.5" customHeight="1" thickBot="1" x14ac:dyDescent="0.45">
      <c r="A7" s="33" t="s">
        <v>5</v>
      </c>
      <c r="B7" s="34"/>
      <c r="C7" s="38" t="s">
        <v>6</v>
      </c>
      <c r="D7" s="28"/>
    </row>
    <row r="8" spans="1:4" ht="28.5" customHeight="1" x14ac:dyDescent="0.4">
      <c r="A8" s="1"/>
      <c r="B8" s="2" t="s">
        <v>7</v>
      </c>
      <c r="C8" s="15" t="s">
        <v>8</v>
      </c>
      <c r="D8" s="14" t="s">
        <v>9</v>
      </c>
    </row>
    <row r="9" spans="1:4" ht="46" customHeight="1" x14ac:dyDescent="0.4">
      <c r="A9" s="16"/>
      <c r="B9" s="17"/>
      <c r="C9" s="19" t="s">
        <v>10</v>
      </c>
      <c r="D9" s="18" t="s">
        <v>11</v>
      </c>
    </row>
    <row r="10" spans="1:4" x14ac:dyDescent="0.4">
      <c r="A10" s="25" t="str">
        <f>IF(OR($C$7="AI Deployer",$C$7="AI Provider",$C$7="AI Provider and AI Deployer"),"G.A","")</f>
        <v/>
      </c>
      <c r="B10" s="21" t="s">
        <v>12</v>
      </c>
      <c r="C10" s="22"/>
      <c r="D10" s="22"/>
    </row>
    <row r="11" spans="1:4" hidden="1" x14ac:dyDescent="0.4">
      <c r="A11" s="26"/>
      <c r="B11" s="22"/>
      <c r="C11" s="22"/>
      <c r="D11" s="22"/>
    </row>
    <row r="12" spans="1:4" ht="48" customHeight="1" x14ac:dyDescent="0.4">
      <c r="A12" s="9" t="str">
        <f>IF(OR($C$7="AI Deployer",$C$7="AI Provider",$C$7="AI Provider and AI Deployer"),"G.A.1","")</f>
        <v/>
      </c>
      <c r="B12" s="10" t="s">
        <v>13</v>
      </c>
      <c r="C12" s="20" t="s">
        <v>14</v>
      </c>
      <c r="D12" s="20" t="s">
        <v>15</v>
      </c>
    </row>
    <row r="13" spans="1:4" ht="48" customHeight="1" x14ac:dyDescent="0.4">
      <c r="A13" s="9" t="str">
        <f>IF(OR($C$7="AI Deployer",$C$7="AI Provider",$C$7="AI Provider and AI Deployer"),"G.A.2","")</f>
        <v/>
      </c>
      <c r="B13" s="10" t="s">
        <v>16</v>
      </c>
      <c r="C13" s="20" t="s">
        <v>14</v>
      </c>
      <c r="D13" s="20" t="s">
        <v>17</v>
      </c>
    </row>
    <row r="14" spans="1:4" ht="48" customHeight="1" x14ac:dyDescent="0.4">
      <c r="A14" s="9" t="str">
        <f>IF(OR($C$7="AI Deployer",$C$7="AI Provider",$C$7="AI Provider and AI Deployer"),"G.A.3","")</f>
        <v/>
      </c>
      <c r="B14" s="10" t="s">
        <v>18</v>
      </c>
      <c r="C14" s="20" t="s">
        <v>14</v>
      </c>
      <c r="D14" s="20" t="s">
        <v>19</v>
      </c>
    </row>
    <row r="15" spans="1:4" ht="48" customHeight="1" x14ac:dyDescent="0.4">
      <c r="A15" s="9" t="str">
        <f>IF(OR($C$7="AI Deployer",$C$7="AI Provider",$C$7="AI Provider and AI Deployer"),"G.A.4","")</f>
        <v/>
      </c>
      <c r="B15" s="11" t="s">
        <v>20</v>
      </c>
      <c r="C15" s="20" t="s">
        <v>14</v>
      </c>
      <c r="D15" s="20" t="s">
        <v>21</v>
      </c>
    </row>
    <row r="16" spans="1:4" ht="48" customHeight="1" x14ac:dyDescent="0.4">
      <c r="A16" s="9" t="str">
        <f>IF(OR($C$7="AI Deployer",$C$7="AI Provider",$C$7="AI Provider and AI Deployer"),"G.A.5","")</f>
        <v/>
      </c>
      <c r="B16" s="10" t="s">
        <v>22</v>
      </c>
      <c r="C16" s="20" t="s">
        <v>14</v>
      </c>
      <c r="D16" s="20" t="s">
        <v>23</v>
      </c>
    </row>
    <row r="17" spans="1:4" ht="48" customHeight="1" x14ac:dyDescent="0.4">
      <c r="A17" s="9" t="str">
        <f>IF(OR($C$7="AI Deployer",$C$7="AI Provider",$C$7="AI Provider and AI Deployer"),"G.A.6","")</f>
        <v/>
      </c>
      <c r="B17" s="11" t="s">
        <v>24</v>
      </c>
      <c r="C17" s="20" t="s">
        <v>14</v>
      </c>
      <c r="D17" s="20" t="s">
        <v>25</v>
      </c>
    </row>
    <row r="18" spans="1:4" ht="48" customHeight="1" x14ac:dyDescent="0.4">
      <c r="A18" s="9" t="str">
        <f>IF(OR($C$7="AI Deployer",$C$7="AI Provider",$C$7="AI Provider and AI Deployer"),"G.A.7","")</f>
        <v/>
      </c>
      <c r="B18" s="10" t="s">
        <v>26</v>
      </c>
      <c r="C18" s="20" t="s">
        <v>14</v>
      </c>
      <c r="D18" s="20" t="s">
        <v>27</v>
      </c>
    </row>
    <row r="19" spans="1:4" ht="48" customHeight="1" x14ac:dyDescent="0.4">
      <c r="A19" s="9" t="str">
        <f>IF(OR($C$7="AI Deployer",$C$7="AI Provider",$C$7="AI Provider and AI Deployer"),"G.A.8","")</f>
        <v/>
      </c>
      <c r="B19" s="10" t="s">
        <v>28</v>
      </c>
      <c r="C19" s="20" t="s">
        <v>14</v>
      </c>
      <c r="D19" s="20" t="s">
        <v>29</v>
      </c>
    </row>
    <row r="20" spans="1:4" ht="48" customHeight="1" x14ac:dyDescent="0.4">
      <c r="A20" s="9" t="str">
        <f>IF(OR($C$7="AI Deployer",$C$7="AI Provider",$C$7="AI Provider and AI Deployer"),"G.A.9","")</f>
        <v/>
      </c>
      <c r="B20" s="10" t="s">
        <v>30</v>
      </c>
      <c r="C20" s="20" t="s">
        <v>31</v>
      </c>
      <c r="D20" s="20" t="s">
        <v>32</v>
      </c>
    </row>
    <row r="21" spans="1:4" ht="48" customHeight="1" x14ac:dyDescent="0.4">
      <c r="A21" s="9" t="str">
        <f>IF(OR($C$7="AI Deployer",$C$7="AI Provider",$C$7="AI Provider and AI Deployer"),"G.A.10","")</f>
        <v/>
      </c>
      <c r="B21" s="10" t="s">
        <v>33</v>
      </c>
      <c r="C21" s="20" t="s">
        <v>14</v>
      </c>
      <c r="D21" s="20" t="s">
        <v>34</v>
      </c>
    </row>
    <row r="22" spans="1:4" x14ac:dyDescent="0.4">
      <c r="A22" s="25" t="str">
        <f>IF(OR($C$7="AI Deployer",$C$7="AI Provider and AI Deployer"),"D.L.U","")</f>
        <v/>
      </c>
      <c r="B22" s="21" t="s">
        <v>35</v>
      </c>
      <c r="C22" s="22"/>
      <c r="D22" s="22"/>
    </row>
    <row r="23" spans="1:4" hidden="1" x14ac:dyDescent="0.4">
      <c r="A23" s="26"/>
      <c r="B23" s="22"/>
      <c r="C23" s="22"/>
      <c r="D23" s="22"/>
    </row>
    <row r="24" spans="1:4" ht="48" customHeight="1" x14ac:dyDescent="0.4">
      <c r="A24" s="8" t="str">
        <f>IF(OR($C$7="AI Deployer",$C$7="AI Provider and AI Deployer"),"D.L.U.1","")</f>
        <v/>
      </c>
      <c r="B24" s="10" t="s">
        <v>36</v>
      </c>
      <c r="C24" s="20" t="s">
        <v>14</v>
      </c>
      <c r="D24" s="20" t="s">
        <v>37</v>
      </c>
    </row>
    <row r="25" spans="1:4" ht="48" customHeight="1" x14ac:dyDescent="0.4">
      <c r="A25" s="8" t="str">
        <f>IF(OR($C$7="AI Deployer",$C$7="AI Provider and AI Deployer"),"D.L.U.2","")</f>
        <v/>
      </c>
      <c r="B25" s="10" t="s">
        <v>38</v>
      </c>
      <c r="C25" s="20" t="s">
        <v>14</v>
      </c>
      <c r="D25" s="20" t="s">
        <v>39</v>
      </c>
    </row>
    <row r="26" spans="1:4" ht="48" customHeight="1" x14ac:dyDescent="0.4">
      <c r="A26" s="8" t="str">
        <f>IF(OR($C$7="AI Deployer",$C$7="AI Provider and AI Deployer"),"D.L.U.3","")</f>
        <v/>
      </c>
      <c r="B26" s="10" t="s">
        <v>40</v>
      </c>
      <c r="C26" s="20" t="s">
        <v>14</v>
      </c>
      <c r="D26" s="20" t="s">
        <v>41</v>
      </c>
    </row>
    <row r="27" spans="1:4" ht="48" customHeight="1" x14ac:dyDescent="0.4">
      <c r="A27" s="8" t="str">
        <f>IF(OR($C$7="AI Deployer",$C$7="AI Provider and AI Deployer"),"D.L.U.4","")</f>
        <v/>
      </c>
      <c r="B27" s="10" t="s">
        <v>42</v>
      </c>
      <c r="C27" s="20" t="s">
        <v>14</v>
      </c>
      <c r="D27" s="20" t="s">
        <v>43</v>
      </c>
    </row>
    <row r="28" spans="1:4" x14ac:dyDescent="0.4">
      <c r="A28" s="25" t="str">
        <f>IF(OR($C$7="AI Provider",$C$7="AI Deployer",$C$7="AI Provider and AI Deployer"),"D.L.P","")</f>
        <v/>
      </c>
      <c r="B28" s="21" t="s">
        <v>44</v>
      </c>
      <c r="C28" s="22"/>
      <c r="D28" s="22"/>
    </row>
    <row r="29" spans="1:4" hidden="1" x14ac:dyDescent="0.4">
      <c r="A29" s="26"/>
      <c r="B29" s="22"/>
      <c r="C29" s="22"/>
      <c r="D29" s="22"/>
    </row>
    <row r="30" spans="1:4" ht="48" customHeight="1" x14ac:dyDescent="0.4">
      <c r="A30" s="8" t="str">
        <f>IF(OR($C$7="AI Provider",$C$7="AI Deployer",$C$7="AI Provider and AI Deployer"),"D.L.P.1","")</f>
        <v/>
      </c>
      <c r="B30" s="10" t="s">
        <v>45</v>
      </c>
      <c r="C30" s="20" t="s">
        <v>14</v>
      </c>
      <c r="D30" s="20" t="s">
        <v>46</v>
      </c>
    </row>
    <row r="31" spans="1:4" ht="48" customHeight="1" x14ac:dyDescent="0.4">
      <c r="A31" s="8" t="str">
        <f>IF(OR($C$7="AI Provider",$C$7="AI Deployer",$C$7="AI Provider and AI Deployer"),"D.L.P.2","")</f>
        <v/>
      </c>
      <c r="B31" s="10" t="s">
        <v>47</v>
      </c>
      <c r="C31" s="20" t="s">
        <v>14</v>
      </c>
      <c r="D31" s="20" t="s">
        <v>48</v>
      </c>
    </row>
    <row r="32" spans="1:4" ht="48" customHeight="1" x14ac:dyDescent="0.4">
      <c r="A32" s="8" t="str">
        <f>IF(OR($C$7="AI Provider",$C$7="AI Deployer",$C$7="AI Provider and AI Deployer"),"D.L.P.3","")</f>
        <v/>
      </c>
      <c r="B32" s="10" t="s">
        <v>49</v>
      </c>
      <c r="C32" s="20" t="s">
        <v>14</v>
      </c>
      <c r="D32" s="20" t="s">
        <v>50</v>
      </c>
    </row>
    <row r="33" spans="1:4" x14ac:dyDescent="0.4">
      <c r="A33" s="25" t="str">
        <f>IF(OR($C$7="AI Deployer",$C$7="AI Provider and AI Deployer"),"D.L.A","")</f>
        <v/>
      </c>
      <c r="B33" s="21" t="s">
        <v>51</v>
      </c>
      <c r="C33" s="22"/>
      <c r="D33" s="22"/>
    </row>
    <row r="34" spans="1:4" hidden="1" x14ac:dyDescent="0.4">
      <c r="A34" s="26"/>
      <c r="B34" s="22"/>
      <c r="C34" s="22"/>
      <c r="D34" s="22"/>
    </row>
    <row r="35" spans="1:4" ht="48" customHeight="1" x14ac:dyDescent="0.4">
      <c r="A35" s="9" t="str">
        <f>IF(OR($C$7="AI Deployer",$C$7="AI Provider and AI Deployer"),"D.L.A.1","")</f>
        <v/>
      </c>
      <c r="B35" s="10" t="s">
        <v>52</v>
      </c>
      <c r="C35" s="20" t="s">
        <v>14</v>
      </c>
      <c r="D35" s="20" t="s">
        <v>53</v>
      </c>
    </row>
    <row r="36" spans="1:4" ht="48" customHeight="1" x14ac:dyDescent="0.4">
      <c r="A36" s="9" t="str">
        <f>IF(OR($C$7="AI Deployer",$C$7="AI Provider and AI Deployer"),"D.L.A.2","")</f>
        <v/>
      </c>
      <c r="B36" s="10" t="s">
        <v>54</v>
      </c>
      <c r="C36" s="20" t="s">
        <v>14</v>
      </c>
      <c r="D36" s="20" t="s">
        <v>55</v>
      </c>
    </row>
    <row r="37" spans="1:4" ht="48" customHeight="1" x14ac:dyDescent="0.4">
      <c r="A37" s="9" t="str">
        <f>IF(OR($C$7="AI Deployer",$C$7="AI Provider and AI Deployer"),"D.L.A.3","")</f>
        <v/>
      </c>
      <c r="B37" s="10" t="s">
        <v>56</v>
      </c>
      <c r="C37" s="20" t="s">
        <v>14</v>
      </c>
      <c r="D37" s="20" t="s">
        <v>57</v>
      </c>
    </row>
    <row r="38" spans="1:4" ht="48" customHeight="1" x14ac:dyDescent="0.4">
      <c r="A38" s="9" t="str">
        <f>IF(OR($C$7="AI Deployer",$C$7="AI Provider and AI Deployer"),"D.L.A.4","")</f>
        <v/>
      </c>
      <c r="B38" s="10" t="s">
        <v>58</v>
      </c>
      <c r="C38" s="20" t="s">
        <v>14</v>
      </c>
      <c r="D38" s="20" t="s">
        <v>59</v>
      </c>
    </row>
    <row r="39" spans="1:4" ht="48" customHeight="1" x14ac:dyDescent="0.4">
      <c r="A39" s="9" t="str">
        <f>IF(OR($C$7="AI Deployer",$C$7="AI Provider and AI Deployer"),"D.L.A.5","")</f>
        <v/>
      </c>
      <c r="B39" s="10" t="s">
        <v>60</v>
      </c>
      <c r="C39" s="20" t="s">
        <v>14</v>
      </c>
      <c r="D39" s="20" t="s">
        <v>61</v>
      </c>
    </row>
    <row r="40" spans="1:4" x14ac:dyDescent="0.4">
      <c r="A40" s="25" t="str">
        <f>IF(OR($C$7="AI Provider",$C$7="AI Provider and AI Deployer"),"D.L.D","")</f>
        <v/>
      </c>
      <c r="B40" s="21" t="s">
        <v>62</v>
      </c>
      <c r="C40" s="22"/>
      <c r="D40" s="22"/>
    </row>
    <row r="41" spans="1:4" hidden="1" x14ac:dyDescent="0.4">
      <c r="A41" s="26"/>
      <c r="B41" s="22"/>
      <c r="C41" s="22"/>
      <c r="D41" s="22"/>
    </row>
    <row r="42" spans="1:4" ht="48" customHeight="1" x14ac:dyDescent="0.4">
      <c r="A42" s="8" t="str">
        <f>IF(OR($C$7="AI Provider",$C$7="AI Provider and AI Deployer"),"D.L.D.1","")</f>
        <v/>
      </c>
      <c r="B42" s="10" t="s">
        <v>63</v>
      </c>
      <c r="C42" s="20" t="s">
        <v>14</v>
      </c>
      <c r="D42" s="20" t="s">
        <v>64</v>
      </c>
    </row>
    <row r="43" spans="1:4" ht="48" customHeight="1" x14ac:dyDescent="0.4">
      <c r="A43" s="8" t="str">
        <f>IF(OR($C$7="AI Provider",$C$7="AI Provider and AI Deployer"),"D.L.D.2","")</f>
        <v/>
      </c>
      <c r="B43" s="10" t="s">
        <v>65</v>
      </c>
      <c r="C43" s="20" t="s">
        <v>14</v>
      </c>
      <c r="D43" s="20" t="s">
        <v>66</v>
      </c>
    </row>
    <row r="44" spans="1:4" x14ac:dyDescent="0.4">
      <c r="A44" s="25" t="str">
        <f>IF(OR($C$7="AI Deployer",$C$7="AI Provider and AI Deployer"),"U.R","")</f>
        <v/>
      </c>
      <c r="B44" s="21" t="s">
        <v>67</v>
      </c>
      <c r="C44" s="22"/>
      <c r="D44" s="22"/>
    </row>
    <row r="45" spans="1:4" hidden="1" x14ac:dyDescent="0.4">
      <c r="A45" s="26"/>
      <c r="B45" s="22"/>
      <c r="C45" s="22"/>
      <c r="D45" s="22"/>
    </row>
    <row r="46" spans="1:4" ht="48" customHeight="1" x14ac:dyDescent="0.4">
      <c r="A46" s="9" t="str">
        <f>IF(OR($C$7="AI Deployer",$C$7="AI Provider and AI Deployer"),"U.R.1","")</f>
        <v/>
      </c>
      <c r="B46" s="10" t="s">
        <v>68</v>
      </c>
      <c r="C46" s="20" t="s">
        <v>31</v>
      </c>
      <c r="D46" s="20" t="s">
        <v>69</v>
      </c>
    </row>
    <row r="47" spans="1:4" ht="48" customHeight="1" x14ac:dyDescent="0.4">
      <c r="A47" s="9" t="str">
        <f>IF(OR($C$7="AI Deployer",$C$7="AI Provider and AI Deployer"),"U.R.2","")</f>
        <v/>
      </c>
      <c r="B47" s="10" t="s">
        <v>70</v>
      </c>
      <c r="C47" s="20" t="s">
        <v>31</v>
      </c>
      <c r="D47" s="20" t="s">
        <v>71</v>
      </c>
    </row>
    <row r="48" spans="1:4" ht="48" customHeight="1" x14ac:dyDescent="0.4">
      <c r="A48" s="9" t="str">
        <f>IF(OR($C$7="AI Deployer",$C$7="AI Provider and AI Deployer"),"U.R.3","")</f>
        <v/>
      </c>
      <c r="B48" s="10" t="s">
        <v>72</v>
      </c>
      <c r="C48" s="20" t="s">
        <v>31</v>
      </c>
      <c r="D48" s="20" t="s">
        <v>73</v>
      </c>
    </row>
    <row r="49" spans="1:4" ht="48" customHeight="1" x14ac:dyDescent="0.4">
      <c r="A49" s="9" t="str">
        <f>IF(OR($C$7="AI Deployer",$C$7="AI Provider and AI Deployer"),"U.R.4","")</f>
        <v/>
      </c>
      <c r="B49" s="10" t="s">
        <v>74</v>
      </c>
      <c r="C49" s="20" t="s">
        <v>31</v>
      </c>
      <c r="D49" s="20" t="s">
        <v>75</v>
      </c>
    </row>
    <row r="50" spans="1:4" ht="48" customHeight="1" x14ac:dyDescent="0.4">
      <c r="A50" s="9" t="str">
        <f>IF(OR($C$7="AI Deployer",$C$7="AI Provider and AI Deployer"),"U.R.5","")</f>
        <v/>
      </c>
      <c r="B50" s="10" t="s">
        <v>76</v>
      </c>
      <c r="C50" s="20" t="s">
        <v>31</v>
      </c>
      <c r="D50" s="20" t="s">
        <v>77</v>
      </c>
    </row>
    <row r="51" spans="1:4" ht="48" customHeight="1" x14ac:dyDescent="0.4">
      <c r="A51" s="9" t="str">
        <f>IF(OR($C$7="AI Deployer",$C$7="AI Provider and AI Deployer"),"U.R.6","")</f>
        <v/>
      </c>
      <c r="B51" s="10" t="s">
        <v>78</v>
      </c>
      <c r="C51" s="20" t="s">
        <v>14</v>
      </c>
      <c r="D51" s="20" t="s">
        <v>79</v>
      </c>
    </row>
    <row r="52" spans="1:4" ht="48" customHeight="1" x14ac:dyDescent="0.4">
      <c r="A52" s="9" t="str">
        <f>IF(OR($C$7="AI Deployer",$C$7="AI Provider and AI Deployer"),"U.R.7","")</f>
        <v/>
      </c>
      <c r="B52" s="10" t="s">
        <v>80</v>
      </c>
      <c r="C52" s="20" t="s">
        <v>14</v>
      </c>
      <c r="D52" s="20" t="s">
        <v>81</v>
      </c>
    </row>
    <row r="53" spans="1:4" x14ac:dyDescent="0.4">
      <c r="A53" s="25" t="str">
        <f>IF(OR($C$7="AI Deployer",$C$7="AI Provider and AI Deployer"),"O","")</f>
        <v/>
      </c>
      <c r="B53" s="21" t="s">
        <v>82</v>
      </c>
      <c r="C53" s="22"/>
      <c r="D53" s="22"/>
    </row>
    <row r="54" spans="1:4" hidden="1" x14ac:dyDescent="0.4">
      <c r="A54" s="26"/>
      <c r="B54" s="22"/>
      <c r="C54" s="22"/>
      <c r="D54" s="22"/>
    </row>
    <row r="55" spans="1:4" ht="48" customHeight="1" x14ac:dyDescent="0.4">
      <c r="A55" s="8" t="str">
        <f>IF(OR($C$7="AI Deployer",$C$7="AI Provider and AI Deployer"),"O.1","")</f>
        <v/>
      </c>
      <c r="B55" s="10" t="s">
        <v>83</v>
      </c>
      <c r="C55" s="20" t="s">
        <v>14</v>
      </c>
      <c r="D55" s="20" t="s">
        <v>84</v>
      </c>
    </row>
    <row r="56" spans="1:4" ht="48" customHeight="1" x14ac:dyDescent="0.4">
      <c r="A56" s="8" t="str">
        <f>IF(OR($C$7="AI Deployer",$C$7="AI Provider and AI Deployer"),"O.2","")</f>
        <v/>
      </c>
      <c r="B56" s="10" t="s">
        <v>85</v>
      </c>
      <c r="C56" s="20" t="s">
        <v>14</v>
      </c>
      <c r="D56" s="20" t="s">
        <v>86</v>
      </c>
    </row>
    <row r="57" spans="1:4" ht="48" customHeight="1" x14ac:dyDescent="0.4">
      <c r="A57" s="8" t="str">
        <f>IF(OR($C$7="AI Deployer",$C$7="AI Provider and AI Deployer"),"O.3","")</f>
        <v/>
      </c>
      <c r="B57" s="10" t="s">
        <v>87</v>
      </c>
      <c r="C57" s="20" t="s">
        <v>14</v>
      </c>
      <c r="D57" s="20" t="s">
        <v>88</v>
      </c>
    </row>
    <row r="58" spans="1:4" ht="48" customHeight="1" x14ac:dyDescent="0.4">
      <c r="A58" s="8" t="str">
        <f>IF(OR($C$7="AI Deployer",$C$7="AI Provider and AI Deployer"),"O.4","")</f>
        <v/>
      </c>
      <c r="B58" s="10" t="s">
        <v>89</v>
      </c>
      <c r="C58" s="20" t="s">
        <v>14</v>
      </c>
      <c r="D58" s="20" t="s">
        <v>90</v>
      </c>
    </row>
    <row r="59" spans="1:4" ht="48" customHeight="1" x14ac:dyDescent="0.4">
      <c r="A59" s="8" t="str">
        <f>IF(OR($C$7="AI Deployer",$C$7="AI Provider and AI Deployer"),"O.5","")</f>
        <v/>
      </c>
      <c r="B59" s="10" t="s">
        <v>91</v>
      </c>
      <c r="C59" s="20" t="s">
        <v>14</v>
      </c>
      <c r="D59" s="20" t="s">
        <v>92</v>
      </c>
    </row>
    <row r="60" spans="1:4" x14ac:dyDescent="0.4">
      <c r="A60" s="25" t="str">
        <f>IF(OR($C$7="AI Deployer",$C$7="AI Provider",$C$7="AI Provider and AI Deployer"),"B.H.I.C","")</f>
        <v/>
      </c>
      <c r="B60" s="21" t="s">
        <v>93</v>
      </c>
      <c r="C60" s="22"/>
      <c r="D60" s="22"/>
    </row>
    <row r="61" spans="1:4" hidden="1" x14ac:dyDescent="0.4">
      <c r="A61" s="26"/>
      <c r="B61" s="22"/>
      <c r="C61" s="22"/>
      <c r="D61" s="22"/>
    </row>
    <row r="62" spans="1:4" ht="48" customHeight="1" x14ac:dyDescent="0.4">
      <c r="A62" s="8" t="str">
        <f>IF(OR($C$7="AI Deployer",$C$7="AI Provider",$C$7="AI Provider and AI Deployer"),"B.H.I.C.1","")</f>
        <v/>
      </c>
      <c r="B62" s="10" t="s">
        <v>94</v>
      </c>
      <c r="C62" s="20" t="s">
        <v>14</v>
      </c>
      <c r="D62" s="20" t="s">
        <v>95</v>
      </c>
    </row>
    <row r="63" spans="1:4" ht="48" customHeight="1" x14ac:dyDescent="0.4">
      <c r="A63" s="8" t="str">
        <f>IF(OR($C$7="AI Deployer",$C$7="AI Provider",$C$7="AI Provider and AI Deployer"),"B.H.I.C.2","")</f>
        <v/>
      </c>
      <c r="B63" s="11" t="s">
        <v>96</v>
      </c>
      <c r="C63" s="20" t="s">
        <v>14</v>
      </c>
      <c r="D63" s="20" t="s">
        <v>97</v>
      </c>
    </row>
    <row r="64" spans="1:4" ht="48" customHeight="1" x14ac:dyDescent="0.4">
      <c r="A64" s="8" t="str">
        <f>IF(OR($C$7="AI Deployer",$C$7="AI Provider",$C$7="AI Provider and AI Deployer"),"B.H.I.C.3","")</f>
        <v/>
      </c>
      <c r="B64" s="10" t="s">
        <v>98</v>
      </c>
      <c r="C64" s="20" t="s">
        <v>14</v>
      </c>
      <c r="D64" s="20" t="s">
        <v>99</v>
      </c>
    </row>
    <row r="65" spans="1:4" ht="48" customHeight="1" x14ac:dyDescent="0.4">
      <c r="A65" s="8" t="str">
        <f>IF(OR($C$7="AI Deployer",$C$7="AI Provider",$C$7="AI Provider and AI Deployer"),"B.H.I.C.4","")</f>
        <v/>
      </c>
      <c r="B65" s="10" t="s">
        <v>100</v>
      </c>
      <c r="C65" s="20" t="s">
        <v>14</v>
      </c>
      <c r="D65" s="20" t="s">
        <v>101</v>
      </c>
    </row>
    <row r="66" spans="1:4" x14ac:dyDescent="0.4">
      <c r="A66" s="25" t="str">
        <f>IF(OR($C$7="AI Deployer",$C$7="AI Provider",$C$7="AI Provider and AI Deployer"),"H","")</f>
        <v/>
      </c>
      <c r="B66" s="21" t="s">
        <v>102</v>
      </c>
      <c r="C66" s="22"/>
      <c r="D66" s="22"/>
    </row>
    <row r="67" spans="1:4" hidden="1" x14ac:dyDescent="0.4">
      <c r="A67" s="26"/>
      <c r="B67" s="22"/>
      <c r="C67" s="22"/>
      <c r="D67" s="22"/>
    </row>
    <row r="68" spans="1:4" ht="48" customHeight="1" x14ac:dyDescent="0.4">
      <c r="A68" s="13" t="str">
        <f>IF(OR($C$7="AI Deployer",$C$7="AI Provider",$C$7="AI Provider and AI Deployer"),"H.1","")</f>
        <v/>
      </c>
      <c r="B68" s="10" t="s">
        <v>103</v>
      </c>
      <c r="C68" s="20" t="s">
        <v>14</v>
      </c>
      <c r="D68" s="20" t="s">
        <v>104</v>
      </c>
    </row>
    <row r="69" spans="1:4" ht="48" customHeight="1" x14ac:dyDescent="0.4">
      <c r="A69" s="13" t="str">
        <f>IF(OR($C$7="AI Deployer",$C$7="AI Provider",$C$7="AI Provider and AI Deployer"),"H.2","")</f>
        <v/>
      </c>
      <c r="B69" s="10" t="s">
        <v>105</v>
      </c>
      <c r="C69" s="20" t="s">
        <v>14</v>
      </c>
      <c r="D69" s="20" t="s">
        <v>95</v>
      </c>
    </row>
    <row r="70" spans="1:4" ht="48" customHeight="1" x14ac:dyDescent="0.4">
      <c r="A70" s="13" t="str">
        <f>IF(OR($C$7="AI Deployer",$C$7="AI Provider",$C$7="AI Provider and AI Deployer"),"H.3","")</f>
        <v/>
      </c>
      <c r="B70" s="10" t="s">
        <v>106</v>
      </c>
      <c r="C70" s="20" t="s">
        <v>14</v>
      </c>
      <c r="D70" s="20" t="s">
        <v>107</v>
      </c>
    </row>
    <row r="71" spans="1:4" ht="48" customHeight="1" x14ac:dyDescent="0.4">
      <c r="A71" s="13" t="str">
        <f>IF(OR($C$7="AI Deployer",$C$7="AI Provider",$C$7="AI Provider and AI Deployer"),"H.4","")</f>
        <v/>
      </c>
      <c r="B71" s="10" t="s">
        <v>108</v>
      </c>
      <c r="C71" s="20" t="s">
        <v>14</v>
      </c>
      <c r="D71" s="20" t="s">
        <v>109</v>
      </c>
    </row>
    <row r="72" spans="1:4" x14ac:dyDescent="0.4">
      <c r="A72" s="25" t="str">
        <f>IF(OR($C$7="AI Deployer",$C$7="AI Provider",$C$7="AI Provider and AI Deployer"),"P.I","")</f>
        <v/>
      </c>
      <c r="B72" s="21" t="s">
        <v>110</v>
      </c>
      <c r="C72" s="22"/>
      <c r="D72" s="22"/>
    </row>
    <row r="73" spans="1:4" hidden="1" x14ac:dyDescent="0.4">
      <c r="A73" s="26"/>
      <c r="B73" s="22"/>
      <c r="C73" s="22"/>
      <c r="D73" s="22"/>
    </row>
    <row r="74" spans="1:4" ht="48" customHeight="1" x14ac:dyDescent="0.4">
      <c r="A74" s="9" t="str">
        <f>IF(OR($C$7="AI Deployer",$C$7="AI Provider",$C$7="AI Provider and AI Deployer"),"P.I.1","")</f>
        <v/>
      </c>
      <c r="B74" s="10" t="s">
        <v>111</v>
      </c>
      <c r="C74" s="20" t="s">
        <v>14</v>
      </c>
      <c r="D74" s="20" t="s">
        <v>112</v>
      </c>
    </row>
    <row r="75" spans="1:4" ht="48" customHeight="1" x14ac:dyDescent="0.4">
      <c r="A75" s="9" t="str">
        <f>IF(OR($C$7="AI Deployer",$C$7="AI Provider",$C$7="AI Provider and AI Deployer"),"P.I.2","")</f>
        <v/>
      </c>
      <c r="B75" s="10" t="s">
        <v>113</v>
      </c>
      <c r="C75" s="20" t="s">
        <v>14</v>
      </c>
      <c r="D75" s="20" t="s">
        <v>112</v>
      </c>
    </row>
    <row r="76" spans="1:4" ht="48" customHeight="1" x14ac:dyDescent="0.4">
      <c r="A76" s="9" t="str">
        <f>IF(OR($C$7="AI Deployer",$C$7="AI Provider",$C$7="AI Provider and AI Deployer"),"P.I.3","")</f>
        <v/>
      </c>
      <c r="B76" s="10" t="s">
        <v>114</v>
      </c>
      <c r="C76" s="20" t="s">
        <v>14</v>
      </c>
      <c r="D76" s="20" t="s">
        <v>112</v>
      </c>
    </row>
    <row r="77" spans="1:4" ht="48" customHeight="1" x14ac:dyDescent="0.4">
      <c r="A77" s="9" t="str">
        <f>IF(OR($C$7="AI Deployer",$C$7="AI Provider",$C$7="AI Provider and AI Deployer"),"P.I.4","")</f>
        <v/>
      </c>
      <c r="B77" s="10" t="s">
        <v>115</v>
      </c>
      <c r="C77" s="20" t="s">
        <v>14</v>
      </c>
      <c r="D77" s="20" t="s">
        <v>112</v>
      </c>
    </row>
    <row r="78" spans="1:4" x14ac:dyDescent="0.4">
      <c r="A78" s="25" t="str">
        <f>IF(OR($C$7="AI Deployer",$C$7="AI Provider and AI Deployer"),"E.P","")</f>
        <v/>
      </c>
      <c r="B78" s="21" t="s">
        <v>116</v>
      </c>
      <c r="C78" s="22"/>
      <c r="D78" s="22"/>
    </row>
    <row r="79" spans="1:4" hidden="1" x14ac:dyDescent="0.4">
      <c r="A79" s="26"/>
      <c r="B79" s="22"/>
      <c r="C79" s="22"/>
      <c r="D79" s="22"/>
    </row>
    <row r="80" spans="1:4" ht="48" customHeight="1" x14ac:dyDescent="0.4">
      <c r="A80" s="9" t="str">
        <f>IF(OR($C$7="AI Deployer",$C$7="AI Provider and AI Deployer"),"E.P.1","")</f>
        <v/>
      </c>
      <c r="B80" s="10" t="s">
        <v>117</v>
      </c>
      <c r="C80" s="20" t="s">
        <v>31</v>
      </c>
      <c r="D80" s="20" t="s">
        <v>118</v>
      </c>
    </row>
    <row r="81" spans="1:4" ht="48" customHeight="1" x14ac:dyDescent="0.4">
      <c r="A81" s="9" t="str">
        <f>IF(OR($C$7="AI Deployer",$C$7="AI Provider and AI Deployer"),"E.P.2","")</f>
        <v/>
      </c>
      <c r="B81" s="10" t="s">
        <v>119</v>
      </c>
      <c r="C81" s="20" t="s">
        <v>14</v>
      </c>
      <c r="D81" s="20" t="s">
        <v>120</v>
      </c>
    </row>
    <row r="82" spans="1:4" ht="48" customHeight="1" x14ac:dyDescent="0.4">
      <c r="A82" s="9" t="str">
        <f>IF(OR($C$7="AI Deployer",$C$7="AI Provider and AI Deployer"),"E.P.3","")</f>
        <v/>
      </c>
      <c r="B82" s="10" t="s">
        <v>121</v>
      </c>
      <c r="C82" s="20" t="s">
        <v>14</v>
      </c>
      <c r="D82" s="20" t="s">
        <v>122</v>
      </c>
    </row>
    <row r="83" spans="1:4" ht="48" customHeight="1" x14ac:dyDescent="0.4">
      <c r="A83" s="9" t="str">
        <f>IF(OR($C$7="AI Deployer",$C$7="AI Provider and AI Deployer"),"E.P.4","")</f>
        <v/>
      </c>
      <c r="B83" s="10" t="s">
        <v>123</v>
      </c>
      <c r="C83" s="20" t="s">
        <v>14</v>
      </c>
      <c r="D83" s="20" t="s">
        <v>124</v>
      </c>
    </row>
    <row r="84" spans="1:4" ht="48" customHeight="1" x14ac:dyDescent="0.4">
      <c r="A84" s="9" t="str">
        <f>IF(OR($C$7="AI Deployer",$C$7="AI Provider and AI Deployer"),"E.P.5","")</f>
        <v/>
      </c>
      <c r="B84" s="10" t="s">
        <v>125</v>
      </c>
      <c r="C84" s="20" t="s">
        <v>14</v>
      </c>
      <c r="D84" s="20" t="s">
        <v>126</v>
      </c>
    </row>
    <row r="85" spans="1:4" x14ac:dyDescent="0.4">
      <c r="A85" s="25" t="str">
        <f>IF(OR($C$7="AI Deployer",$C$7="AI Provider",$C$7="AI Provider and AI Deployer"),"D.O.S","")</f>
        <v/>
      </c>
      <c r="B85" s="21" t="s">
        <v>127</v>
      </c>
      <c r="C85" s="22"/>
      <c r="D85" s="22"/>
    </row>
    <row r="86" spans="1:4" hidden="1" x14ac:dyDescent="0.4">
      <c r="A86" s="26"/>
      <c r="B86" s="22"/>
      <c r="C86" s="22"/>
      <c r="D86" s="22"/>
    </row>
    <row r="87" spans="1:4" ht="48" customHeight="1" x14ac:dyDescent="0.4">
      <c r="A87" s="9" t="str">
        <f>IF(OR($C$7="AI Deployer",$C$7="AI Provider",$C$7="AI Provider and AI Deployer"),"D.O.S.1","")</f>
        <v/>
      </c>
      <c r="B87" s="10" t="s">
        <v>128</v>
      </c>
      <c r="C87" s="20" t="s">
        <v>31</v>
      </c>
      <c r="D87" s="20" t="s">
        <v>129</v>
      </c>
    </row>
    <row r="88" spans="1:4" ht="48" customHeight="1" x14ac:dyDescent="0.4">
      <c r="A88" s="9" t="str">
        <f>IF(OR($C$7="AI Deployer",$C$7="AI Provider",$C$7="AI Provider and AI Deployer"),"D.O.S.2","")</f>
        <v/>
      </c>
      <c r="B88" s="10" t="s">
        <v>130</v>
      </c>
      <c r="C88" s="20" t="s">
        <v>31</v>
      </c>
      <c r="D88" s="20" t="s">
        <v>131</v>
      </c>
    </row>
    <row r="89" spans="1:4" ht="48" customHeight="1" x14ac:dyDescent="0.4">
      <c r="A89" s="9" t="str">
        <f>IF(OR($C$7="AI Deployer",$C$7="AI Provider",$C$7="AI Provider and AI Deployer"),"D.O.S.3","")</f>
        <v/>
      </c>
      <c r="B89" s="10" t="s">
        <v>132</v>
      </c>
      <c r="C89" s="20" t="s">
        <v>31</v>
      </c>
      <c r="D89" s="20" t="s">
        <v>133</v>
      </c>
    </row>
    <row r="90" spans="1:4" ht="48" customHeight="1" x14ac:dyDescent="0.4">
      <c r="A90" s="9" t="str">
        <f>IF(OR($C$7="AI Deployer",$C$7="AI Provider",$C$7="AI Provider and AI Deployer"),"D.O.S.4","")</f>
        <v/>
      </c>
      <c r="B90" s="10" t="s">
        <v>134</v>
      </c>
      <c r="C90" s="20" t="s">
        <v>31</v>
      </c>
      <c r="D90" s="20" t="s">
        <v>135</v>
      </c>
    </row>
    <row r="91" spans="1:4" x14ac:dyDescent="0.4">
      <c r="A91" s="25" t="str">
        <f>IF(OR($C$7="AI Deployer",$C$7="AI Provider and AI Deployer"),"S.C.A","")</f>
        <v/>
      </c>
      <c r="B91" s="21" t="s">
        <v>136</v>
      </c>
      <c r="C91" s="22"/>
      <c r="D91" s="22"/>
    </row>
    <row r="92" spans="1:4" hidden="1" x14ac:dyDescent="0.4">
      <c r="A92" s="26"/>
      <c r="B92" s="22"/>
      <c r="C92" s="22"/>
      <c r="D92" s="22"/>
    </row>
    <row r="93" spans="1:4" ht="48" customHeight="1" x14ac:dyDescent="0.4">
      <c r="A93" s="9" t="str">
        <f>IF(OR($C$7="AI Deployer",$C$7="AI Provider and AI Deployer"),"S.C.A.1","")</f>
        <v/>
      </c>
      <c r="B93" s="10" t="s">
        <v>137</v>
      </c>
      <c r="C93" s="20" t="s">
        <v>31</v>
      </c>
      <c r="D93" s="20" t="s">
        <v>138</v>
      </c>
    </row>
    <row r="94" spans="1:4" ht="48" customHeight="1" x14ac:dyDescent="0.4">
      <c r="A94" s="9" t="str">
        <f>IF(OR($C$7="AI Deployer",$C$7="AI Provider and AI Deployer"),"S.C.A.2","")</f>
        <v/>
      </c>
      <c r="B94" s="10" t="s">
        <v>139</v>
      </c>
      <c r="C94" s="20" t="s">
        <v>31</v>
      </c>
      <c r="D94" s="20" t="s">
        <v>140</v>
      </c>
    </row>
    <row r="95" spans="1:4" ht="48" customHeight="1" x14ac:dyDescent="0.4">
      <c r="A95" s="9" t="str">
        <f>IF(OR($C$7="AI Deployer",$C$7="AI Provider and AI Deployer"),"S.C.A.3","")</f>
        <v/>
      </c>
      <c r="B95" s="10" t="s">
        <v>141</v>
      </c>
      <c r="C95" s="20" t="s">
        <v>14</v>
      </c>
      <c r="D95" s="20" t="s">
        <v>142</v>
      </c>
    </row>
    <row r="96" spans="1:4" x14ac:dyDescent="0.4">
      <c r="A96" s="25" t="str">
        <f>IF(OR($C$7="AI Provider",$C$7="AI Provider and AI Deployer"),"S.C.D","")</f>
        <v/>
      </c>
      <c r="B96" s="21" t="s">
        <v>143</v>
      </c>
      <c r="C96" s="22"/>
      <c r="D96" s="22"/>
    </row>
    <row r="97" spans="1:4" hidden="1" x14ac:dyDescent="0.4">
      <c r="A97" s="26"/>
      <c r="B97" s="22"/>
      <c r="C97" s="22"/>
      <c r="D97" s="22"/>
    </row>
    <row r="98" spans="1:4" ht="48" customHeight="1" x14ac:dyDescent="0.4">
      <c r="A98" s="9" t="str">
        <f>IF(OR($C$7="AI Provider",$C$7="AI Provider and AI Deployer"),"S.C.D.1","")</f>
        <v/>
      </c>
      <c r="B98" s="10" t="s">
        <v>144</v>
      </c>
      <c r="C98" s="20" t="s">
        <v>14</v>
      </c>
      <c r="D98" s="20" t="s">
        <v>145</v>
      </c>
    </row>
    <row r="99" spans="1:4" ht="48" customHeight="1" x14ac:dyDescent="0.4">
      <c r="A99" s="9" t="str">
        <f>IF(OR($C$7="AI Provider",$C$7="AI Provider and AI Deployer"),"S.C.D.2","")</f>
        <v/>
      </c>
      <c r="B99" s="10" t="s">
        <v>146</v>
      </c>
      <c r="C99" s="20" t="s">
        <v>14</v>
      </c>
      <c r="D99" s="20" t="s">
        <v>147</v>
      </c>
    </row>
    <row r="100" spans="1:4" ht="48" customHeight="1" x14ac:dyDescent="0.4">
      <c r="A100" s="9" t="str">
        <f>IF(OR($C$7="AI Provider",$C$7="AI Provider and AI Deployer"),"S.C.D.3","")</f>
        <v/>
      </c>
      <c r="B100" s="10" t="s">
        <v>148</v>
      </c>
      <c r="C100" s="20" t="s">
        <v>14</v>
      </c>
      <c r="D100" s="20" t="s">
        <v>149</v>
      </c>
    </row>
    <row r="101" spans="1:4" x14ac:dyDescent="0.4">
      <c r="A101" s="25" t="str">
        <f>IF(OR($C$7="AI Provider",$C$7="AI Provider and AI Deployer"),"D.P","")</f>
        <v/>
      </c>
      <c r="B101" s="21" t="s">
        <v>150</v>
      </c>
      <c r="C101" s="22"/>
      <c r="D101" s="22"/>
    </row>
    <row r="102" spans="1:4" hidden="1" x14ac:dyDescent="0.4">
      <c r="A102" s="26"/>
      <c r="B102" s="22"/>
      <c r="C102" s="22"/>
      <c r="D102" s="22"/>
    </row>
    <row r="103" spans="1:4" ht="48" customHeight="1" x14ac:dyDescent="0.4">
      <c r="A103" s="9" t="str">
        <f>IF(OR($C$7="AI Provider",$C$7="AI Provider and AI Deployer"),"D.P.1","")</f>
        <v/>
      </c>
      <c r="B103" s="10" t="s">
        <v>151</v>
      </c>
      <c r="C103" s="20" t="s">
        <v>14</v>
      </c>
      <c r="D103" s="20" t="s">
        <v>152</v>
      </c>
    </row>
    <row r="104" spans="1:4" ht="48" customHeight="1" x14ac:dyDescent="0.4">
      <c r="A104" s="9" t="str">
        <f>IF(OR($C$7="AI Provider",$C$7="AI Provider and AI Deployer"),"D.P.2","")</f>
        <v/>
      </c>
      <c r="B104" s="10" t="s">
        <v>153</v>
      </c>
      <c r="C104" s="20" t="s">
        <v>14</v>
      </c>
      <c r="D104" s="20" t="s">
        <v>154</v>
      </c>
    </row>
    <row r="105" spans="1:4" ht="48" customHeight="1" x14ac:dyDescent="0.4">
      <c r="A105" s="9" t="str">
        <f>IF(OR($C$7="AI Provider",$C$7="AI Provider and AI Deployer"),"D.P.3","")</f>
        <v/>
      </c>
      <c r="B105" s="10" t="s">
        <v>155</v>
      </c>
      <c r="C105" s="20" t="s">
        <v>14</v>
      </c>
      <c r="D105" s="20" t="s">
        <v>156</v>
      </c>
    </row>
    <row r="106" spans="1:4" ht="48" customHeight="1" x14ac:dyDescent="0.4">
      <c r="A106" s="9" t="str">
        <f>IF(OR($C$7="AI Provider",$C$7="AI Provider and AI Deployer"),"D.P.4","")</f>
        <v/>
      </c>
      <c r="B106" s="10" t="s">
        <v>157</v>
      </c>
      <c r="C106" s="20" t="s">
        <v>14</v>
      </c>
      <c r="D106" s="20" t="s">
        <v>158</v>
      </c>
    </row>
    <row r="107" spans="1:4" x14ac:dyDescent="0.4">
      <c r="A107" s="25" t="str">
        <f>IF(OR($C$7="AI Deployer",$C$7="AI Provider",$C$7="AI Provider and AI Deployer"),"M.D","")</f>
        <v/>
      </c>
      <c r="B107" s="21" t="s">
        <v>159</v>
      </c>
      <c r="C107" s="22"/>
      <c r="D107" s="22"/>
    </row>
    <row r="108" spans="1:4" hidden="1" x14ac:dyDescent="0.4">
      <c r="A108" s="26"/>
      <c r="B108" s="22"/>
      <c r="C108" s="22"/>
      <c r="D108" s="22"/>
    </row>
    <row r="109" spans="1:4" ht="48" customHeight="1" x14ac:dyDescent="0.4">
      <c r="A109" s="9" t="str">
        <f>IF(OR($C$7="AI Deployer",$C$7="AI Provider",$C$7="AI Provider and AI Deployer"),"M.D.1","")</f>
        <v/>
      </c>
      <c r="B109" s="10" t="s">
        <v>160</v>
      </c>
      <c r="C109" s="20" t="s">
        <v>14</v>
      </c>
      <c r="D109" s="20" t="s">
        <v>161</v>
      </c>
    </row>
    <row r="110" spans="1:4" ht="48" customHeight="1" x14ac:dyDescent="0.4">
      <c r="A110" s="9" t="str">
        <f>IF(OR($C$7="AI Deployer",$C$7="AI Provider",$C$7="AI Provider and AI Deployer"),"M.D.2","")</f>
        <v/>
      </c>
      <c r="B110" s="10" t="s">
        <v>162</v>
      </c>
      <c r="C110" s="20" t="s">
        <v>14</v>
      </c>
      <c r="D110" s="20" t="s">
        <v>161</v>
      </c>
    </row>
    <row r="111" spans="1:4" x14ac:dyDescent="0.4">
      <c r="A111" s="25" t="str">
        <f>IF(OR($C$7="AI Deployer",$C$7="AI Provider",$C$7="AI Provider and AI Deployer"),"M.T","")</f>
        <v/>
      </c>
      <c r="B111" s="21" t="s">
        <v>163</v>
      </c>
      <c r="C111" s="22"/>
      <c r="D111" s="22"/>
    </row>
    <row r="112" spans="1:4" hidden="1" x14ac:dyDescent="0.4">
      <c r="A112" s="26"/>
      <c r="B112" s="22"/>
      <c r="C112" s="22"/>
      <c r="D112" s="22"/>
    </row>
    <row r="113" spans="1:4" ht="48" customHeight="1" x14ac:dyDescent="0.4">
      <c r="A113" s="8" t="str">
        <f>IF(OR($C$7="AI Deployer",$C$7="AI Provider",$C$7="AI Provider and AI Deployer"),"M.T.1","")</f>
        <v/>
      </c>
      <c r="B113" s="10" t="s">
        <v>164</v>
      </c>
      <c r="C113" s="20" t="s">
        <v>14</v>
      </c>
      <c r="D113" s="20" t="s">
        <v>165</v>
      </c>
    </row>
    <row r="114" spans="1:4" ht="48" customHeight="1" x14ac:dyDescent="0.4">
      <c r="A114" s="8" t="str">
        <f>IF(OR($C$7="AI Deployer",$C$7="AI Provider",$C$7="AI Provider and AI Deployer"),"M.T.2","")</f>
        <v/>
      </c>
      <c r="B114" s="10" t="s">
        <v>166</v>
      </c>
      <c r="C114" s="20" t="s">
        <v>14</v>
      </c>
      <c r="D114" s="20" t="s">
        <v>167</v>
      </c>
    </row>
    <row r="115" spans="1:4" ht="48" customHeight="1" x14ac:dyDescent="0.4">
      <c r="A115" s="8" t="str">
        <f>IF(OR($C$7="AI Deployer",$C$7="AI Provider",$C$7="AI Provider and AI Deployer"),"M.T.3","")</f>
        <v/>
      </c>
      <c r="B115" s="10" t="s">
        <v>168</v>
      </c>
      <c r="C115" s="20" t="s">
        <v>14</v>
      </c>
      <c r="D115" s="20" t="s">
        <v>169</v>
      </c>
    </row>
    <row r="116" spans="1:4" hidden="1" x14ac:dyDescent="0.4">
      <c r="A116" s="12" t="str">
        <f>IF($C$7="Otherwise","N/A","")</f>
        <v>N/A</v>
      </c>
      <c r="B116" s="10" t="s">
        <v>170</v>
      </c>
    </row>
    <row r="117" spans="1:4" hidden="1" x14ac:dyDescent="0.4"/>
    <row r="118" spans="1:4" hidden="1" x14ac:dyDescent="0.4"/>
  </sheetData>
  <mergeCells count="44">
    <mergeCell ref="A111:A112"/>
    <mergeCell ref="A107:A108"/>
    <mergeCell ref="A40:A41"/>
    <mergeCell ref="B33:D34"/>
    <mergeCell ref="A101:A102"/>
    <mergeCell ref="B111:D112"/>
    <mergeCell ref="A22:A23"/>
    <mergeCell ref="A33:A34"/>
    <mergeCell ref="B101:D102"/>
    <mergeCell ref="A72:A73"/>
    <mergeCell ref="A96:A97"/>
    <mergeCell ref="B60:D61"/>
    <mergeCell ref="B78:D79"/>
    <mergeCell ref="B107:D108"/>
    <mergeCell ref="A44:A45"/>
    <mergeCell ref="A53:A54"/>
    <mergeCell ref="B28:D29"/>
    <mergeCell ref="B44:D45"/>
    <mergeCell ref="B53:D54"/>
    <mergeCell ref="A28:A29"/>
    <mergeCell ref="D1:D3"/>
    <mergeCell ref="A7:B7"/>
    <mergeCell ref="B96:D97"/>
    <mergeCell ref="A91:A92"/>
    <mergeCell ref="A85:A86"/>
    <mergeCell ref="A5:B5"/>
    <mergeCell ref="A10:A11"/>
    <mergeCell ref="A4:B4"/>
    <mergeCell ref="B10:D11"/>
    <mergeCell ref="C7:D7"/>
    <mergeCell ref="A1:C3"/>
    <mergeCell ref="B91:D92"/>
    <mergeCell ref="A66:A67"/>
    <mergeCell ref="B85:D86"/>
    <mergeCell ref="C4:D4"/>
    <mergeCell ref="B72:D73"/>
    <mergeCell ref="B40:D41"/>
    <mergeCell ref="C6:D6"/>
    <mergeCell ref="A60:A61"/>
    <mergeCell ref="A78:A79"/>
    <mergeCell ref="C5:D5"/>
    <mergeCell ref="B22:D23"/>
    <mergeCell ref="B66:D67"/>
    <mergeCell ref="A6:B6"/>
  </mergeCells>
  <dataValidations count="2">
    <dataValidation type="list" allowBlank="1" showInputMessage="1" showErrorMessage="1" sqref="C24:C27 C30:C32 C35:C37 C39 C42:C43 C46:C52 C55:C59 C62:C65 C68:C71 C74:C77 C80:C84 C87:C90 C93:C95 C98:C100 C103:C106 C109:C110 C113:C115" xr:uid="{00000000-0002-0000-0100-000000000000}">
      <formula1>"Yes,No,N/A"</formula1>
    </dataValidation>
    <dataValidation type="list" allowBlank="1" showInputMessage="1" showErrorMessage="1" sqref="C7:D7" xr:uid="{00000000-0002-0000-0100-000001000000}">
      <formula1>"AI Provider, AI Deployer, AI Provider and AI Deployer, Otherwise,To be choosen"</formula1>
    </dataValidation>
  </dataValidations>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Version Control</vt:lpstr>
      <vt:lpstr>AI Questionnaire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OTTER, Victoria</dc:creator>
  <cp:lastModifiedBy>mqas1</cp:lastModifiedBy>
  <dcterms:created xsi:type="dcterms:W3CDTF">2024-07-05T08:36:33Z</dcterms:created>
  <dcterms:modified xsi:type="dcterms:W3CDTF">2026-10-13T10:42:03Z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0x0101000058AF856C552F42ADFAE4199D06029F</vt:lpwstr>
  </property>
</Properties>
</file>